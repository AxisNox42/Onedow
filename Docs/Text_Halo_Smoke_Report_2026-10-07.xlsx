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01_Study\02_OpenGL\Onedow\Docs\"/>
    </mc:Choice>
  </mc:AlternateContent>
  <xr:revisionPtr revIDLastSave="0" documentId="13_ncr:1_{78ADB355-CEDA-438A-BE0F-2CA12B589278}" xr6:coauthVersionLast="47" xr6:coauthVersionMax="47" xr10:uidLastSave="{00000000-0000-0000-0000-000000000000}"/>
  <bookViews>
    <workbookView xWindow="-120" yWindow="-120" windowWidth="38640" windowHeight="23520" xr2:uid="{00000000-000D-0000-FFFF-FFFF00000000}"/>
  </bookViews>
  <sheets>
    <sheet name="요약" sheetId="1" r:id="rId1"/>
    <sheet name="헤일로 전후 비교" sheetId="2" r:id="rId2"/>
    <sheet name="설정·기준" sheetId="3" r:id="rId3"/>
    <sheet name="캡처 비교" sheetId="4" r:id="rId4"/>
  </sheets>
  <calcPr calcId="181029"/>
</workbook>
</file>

<file path=xl/calcChain.xml><?xml version="1.0" encoding="utf-8"?>
<calcChain xmlns="http://schemas.openxmlformats.org/spreadsheetml/2006/main">
  <c r="J16" i="2" l="1"/>
  <c r="G16" i="2"/>
  <c r="F16" i="2"/>
  <c r="J15" i="2"/>
  <c r="G15" i="2"/>
  <c r="F15" i="2"/>
  <c r="J14" i="2"/>
  <c r="G14" i="2"/>
  <c r="F14" i="2"/>
  <c r="J13" i="2"/>
  <c r="G13" i="2"/>
  <c r="F13" i="2"/>
  <c r="J12" i="2"/>
  <c r="G12" i="2"/>
  <c r="F12" i="2"/>
  <c r="J11" i="2"/>
  <c r="G11" i="2"/>
  <c r="F11" i="2"/>
  <c r="J10" i="2"/>
  <c r="G10" i="2"/>
  <c r="F10" i="2"/>
  <c r="J9" i="2"/>
  <c r="G9" i="2"/>
  <c r="F9" i="2"/>
  <c r="J8" i="2"/>
  <c r="G8" i="2"/>
  <c r="F8" i="2"/>
  <c r="J7" i="2"/>
  <c r="G7" i="2"/>
  <c r="F7" i="2"/>
  <c r="J6" i="2"/>
  <c r="G6" i="2"/>
  <c r="F6" i="2"/>
  <c r="J5" i="2"/>
  <c r="G5" i="2"/>
  <c r="F5" i="2"/>
  <c r="B12" i="1"/>
  <c r="B11" i="1"/>
  <c r="B10" i="1"/>
</calcChain>
</file>

<file path=xl/sharedStrings.xml><?xml version="1.0" encoding="utf-8"?>
<sst xmlns="http://schemas.openxmlformats.org/spreadsheetml/2006/main" count="81" uniqueCount="80">
  <si>
    <t>Onedow 글자 헤일로 적용 스모크 리포트</t>
  </si>
  <si>
    <t>점검일</t>
  </si>
  <si>
    <t>2026-10-07</t>
  </si>
  <si>
    <t>배경</t>
  </si>
  <si>
    <t>Blur_Off_UI_Smoke_Report_2026-10-07.xlsx에서 블러 OFF 시 가독성 문제를 확인. 다만 그 리포트의 '막 불투명도 상향' 권장은 "판·막 없이 바탕화면 위에서 싸우는 느낌"이라는 디자인 의도와 맞지 않아, 글자 단위 해법으로 대체합니다.</t>
  </si>
  <si>
    <t>적용 내용</t>
  </si>
  <si>
    <t>모든 텍스트 렌더링(UI·HUD·회전 텍스트)에 글자 모양을 따라가는 부드러운 어두운 헤일로를 셰이더로 추가. 배경 판·막은 추가하지 않음. 강도는 블러 OFF 0.9 / ON 0.55, 두께는 글자 크기의 약 7%(최대 약 2px).</t>
  </si>
  <si>
    <t>점검 방법</t>
  </si>
  <si>
    <t>동일한 스모크 장면 12개를 블러 OFF로 다시 캡처해 흰 배경·복잡한 배경 위에 합성하고, 글자 가장자리 대비비를 전후 비교. 블러 ON 화면도 함께 캡처해 기존 모습이 지저분해지지 않았는지 확인.</t>
  </si>
  <si>
    <t>흰 배경 판정 집계</t>
  </si>
  <si>
    <t>구분</t>
  </si>
  <si>
    <t>PASS / 주의 / FAIL 개수 (12개 화면)</t>
  </si>
  <si>
    <t>헤일로 적용 전</t>
  </si>
  <si>
    <t>헤일로 적용 후</t>
  </si>
  <si>
    <t>흰 배경 대비 개선(중앙값)</t>
  </si>
  <si>
    <t>결론</t>
  </si>
  <si>
    <t>밝은 배경</t>
  </si>
  <si>
    <t>흰 배경에서 글자 가장자리 대비가 1.2~2.8:1 → 5.1~8.9:1로 올라 12개 화면 모두 WCAG AA(4.5:1)를 넘습니다. HUD도 1.2:1 → 5.3:1로, 밝은 바탕화면 위에서 점수·레벨을 읽을 수 있게 됐습니다.</t>
  </si>
  <si>
    <t>복잡한 배경</t>
  </si>
  <si>
    <t>큰 글자와 중간 크기 글자는 배경 글자와 분리돼 읽힙니다. 아주 작은 글자(Supporting 단계)는 여전히 배경 무늬와 경쟁하므로, 정보성 작은 글자의 최소 크기를 올리거나 상세 정보를 호버 때만 보여 주는 정리가 다음 단계로 필요합니다.</t>
  </si>
  <si>
    <t>블러 ON 화면</t>
  </si>
  <si>
    <t>헤일로가 강도 0.55로 은은하게 들어가 기존 모습과 거의 같고, 글자 가장자리가 조금 더 또렷해졌습니다. 예전 4방향 키라인처럼 지저분해지는 문제는 보이지 않았습니다.</t>
  </si>
  <si>
    <t>남은 일</t>
  </si>
  <si>
    <t>① 작은 글자 최소 크기 상향 검토 ② 하늘색·주황 등 중간 밝기 글자색을 한 단계 밝게 ③ 기존 리포트의 권장 조치 B-01·B-03·B-04·B-05(막 상향)는 이 리포트로 대체.</t>
  </si>
  <si>
    <t>글자 가장자리 대비: 헤일로 적용 전 → 후 (블러 OFF, KR, 2560×1599)</t>
  </si>
  <si>
    <t>값 = 글자 픽셀과 바로 바깥 3px 중 가장 어두운 픽셀의 대비비(중앙값). 파란 글자 = 측정값, 검은 글자 = 수식. 판정 기준은 '설정·기준' B4·B5.</t>
  </si>
  <si>
    <t>No</t>
  </si>
  <si>
    <t>화면</t>
  </si>
  <si>
    <t>막 불투명도
(블러 OFF)</t>
  </si>
  <si>
    <t>흰 배경
전</t>
  </si>
  <si>
    <t>흰 배경
후</t>
  </si>
  <si>
    <t>흰 배경
개선 배율</t>
  </si>
  <si>
    <t>흰 배경 판정
(후)</t>
  </si>
  <si>
    <t>복잡한 배경
전</t>
  </si>
  <si>
    <t>복잡한 배경
후</t>
  </si>
  <si>
    <t>흰 배경 판정
(전)</t>
  </si>
  <si>
    <t>메인 메뉴</t>
  </si>
  <si>
    <t>런 설정(플레이)</t>
  </si>
  <si>
    <t>상점(코어 모듈)</t>
  </si>
  <si>
    <t>도감</t>
  </si>
  <si>
    <t>도감 검색(결과 없음)</t>
  </si>
  <si>
    <t>설정 &gt; 화면</t>
  </si>
  <si>
    <t>설정 &gt; 소리</t>
  </si>
  <si>
    <t>게임 플레이 HUD</t>
  </si>
  <si>
    <t>증강 선택</t>
  </si>
  <si>
    <t>증강 상세(카드 호버)</t>
  </si>
  <si>
    <t>일시정지</t>
  </si>
  <si>
    <t>게임오버</t>
  </si>
  <si>
    <t>※ 복잡한 배경 값은 원래부터 높게 나옵니다: 주변 3px 안에 배경의 어두운 글자 줄이 들어오기 때문입니다. 이 지표는 배경 무늬가 산만한 정도를 측정하지 못하므로 복잡한 배경은 '캡처 비교' 시트의 육안 확인을 기준으로 봅니다.</t>
  </si>
  <si>
    <t>※ 막 불투명도는 바뀌지 않았습니다(판·막 미사용 원칙). 개선은 모두 글자 단위 헤일로에서 나왔습니다.</t>
  </si>
  <si>
    <t>설정·기준</t>
  </si>
  <si>
    <t>항목</t>
  </si>
  <si>
    <t>값</t>
  </si>
  <si>
    <t>설명</t>
  </si>
  <si>
    <t>대비 PASS 기준</t>
  </si>
  <si>
    <t>WCAG 2.x 일반 텍스트 최소 대비(AA).</t>
  </si>
  <si>
    <t>대비 주의 기준</t>
  </si>
  <si>
    <t>WCAG 2.x 큰 텍스트 최소 대비. 미만은 FAIL.</t>
  </si>
  <si>
    <t>헤일로 강도(블러 OFF)</t>
  </si>
  <si>
    <t>WiNILL/Render/GameFonts.cpp UpdateGameTextHalo.</t>
  </si>
  <si>
    <t>헤일로 강도(블러 ON)</t>
  </si>
  <si>
    <t>블러 ON은 바탕 무늬가 이미 흐려져 대비 보강만 필요.</t>
  </si>
  <si>
    <t>헤일로 최대 두께(px, 1600p 기준)</t>
  </si>
  <si>
    <t>화면 높이에 비례, 최소 1.5px. 실제 두께는 글자 크기의 약 7%(최소 0.9px)로 제한.</t>
  </si>
  <si>
    <t>글리프 여백(텍셀)</t>
  </si>
  <si>
    <t>TextRenderer kGlyphPad. 헤일로가 이웃 글리프를 샘플링하지 않도록 아틀라스에 굽는 빈 여백.</t>
  </si>
  <si>
    <t>화면별 전후 비교 (왼쪽부터: 흰 배경 전 · 흰 배경 후 · 복잡한 배경 전 · 복잡한 배경 후)</t>
  </si>
  <si>
    <t>캡처(블러 OFF 합성)</t>
  </si>
  <si>
    <t>1. 메인 메뉴</t>
  </si>
  <si>
    <t>2. 런 설정(플레이)</t>
  </si>
  <si>
    <t>3. 상점(코어 모듈)</t>
  </si>
  <si>
    <t>4. 도감</t>
  </si>
  <si>
    <t>5. 도감 검색(결과 없음)</t>
  </si>
  <si>
    <t>6. 설정 &gt; 화면</t>
  </si>
  <si>
    <t>7. 설정 &gt; 소리</t>
  </si>
  <si>
    <t>8. 게임 플레이 HUD</t>
  </si>
  <si>
    <t>9. 증강 선택</t>
  </si>
  <si>
    <t>10. 증강 상세(카드 호버)</t>
  </si>
  <si>
    <t>11. 일시정지</t>
  </si>
  <si>
    <t>12. 게임오버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</si>
</sst>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1&quot;"/>
    <numFmt numFmtId="177" formatCode="0.0&quot;배&quot;"/>
  </numFmts>
  <fonts count="9" x14ac:knownFonts="1">
    <font>
      <sz val="11"/>
      <color theme="1"/>
      <name val="맑은 고딕"/>
      <family val="2"/>
      <scheme val="minor"/>
    </font>
    <font>
      <b/>
      <sz val="22"/>
      <color rgb="FF1F3A5F"/>
      <name val="맑은 고딕"/>
      <family val="3"/>
      <charset val="129"/>
    </font>
    <font>
      <b/>
      <sz val="16"/>
      <color rgb="FFFFFFFF"/>
      <name val="맑은 고딕"/>
      <family val="3"/>
      <charset val="129"/>
    </font>
    <font>
      <b/>
      <sz val="14"/>
      <color rgb="FF000000"/>
      <name val="맑은 고딕"/>
      <family val="3"/>
      <charset val="129"/>
    </font>
    <font>
      <sz val="14"/>
      <color rgb="FF0000FF"/>
      <name val="맑은 고딕"/>
      <family val="3"/>
      <charset val="129"/>
    </font>
    <font>
      <sz val="14"/>
      <color rgb="FF000000"/>
      <name val="맑은 고딕"/>
      <family val="3"/>
      <charset val="129"/>
    </font>
    <font>
      <sz val="14"/>
      <color rgb="FF44546A"/>
      <name val="맑은 고딕"/>
      <family val="3"/>
      <charset val="129"/>
    </font>
    <font>
      <b/>
      <sz val="16"/>
      <color rgb="FF1F3A5F"/>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1F3A5F"/>
      </patternFill>
    </fill>
    <fill>
      <patternFill patternType="solid">
        <fgColor rgb="FFE8EEF5"/>
      </patternFill>
    </fill>
  </fills>
  <borders count="2">
    <border>
      <left/>
      <right/>
      <top/>
      <bottom/>
      <diagonal/>
    </border>
    <border>
      <left style="thin">
        <color rgb="FFB7C3D0"/>
      </left>
      <right style="thin">
        <color rgb="FFB7C3D0"/>
      </right>
      <top style="thin">
        <color rgb="FFB7C3D0"/>
      </top>
      <bottom style="thin">
        <color rgb="FFB7C3D0"/>
      </bottom>
      <diagonal/>
    </border>
  </borders>
  <cellStyleXfs count="1">
    <xf numFmtId="0" fontId="0" fillId="0" borderId="0"/>
  </cellStyleXfs>
  <cellXfs count="17">
    <xf numFmtId="0" fontId="0" fillId="0" borderId="0" xfId="0"/>
    <xf numFmtId="0" fontId="3"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0" borderId="0" xfId="0" applyFont="1"/>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177" fontId="5" fillId="0" borderId="1" xfId="0" applyNumberFormat="1" applyFont="1" applyBorder="1" applyAlignment="1">
      <alignment horizontal="left" vertical="center" wrapText="1"/>
    </xf>
    <xf numFmtId="0" fontId="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176" fontId="4" fillId="0" borderId="1" xfId="0" applyNumberFormat="1" applyFont="1" applyBorder="1" applyAlignment="1">
      <alignment horizontal="center" vertical="center" wrapText="1"/>
    </xf>
    <xf numFmtId="177" fontId="5"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1" fillId="0" borderId="0" xfId="0" applyFont="1"/>
    <xf numFmtId="0" fontId="0" fillId="0" borderId="0" xfId="0"/>
    <xf numFmtId="0" fontId="6" fillId="0" borderId="0" xfId="0" applyFont="1" applyAlignment="1">
      <alignment vertical="center" wrapText="1"/>
    </xf>
  </cellXfs>
  <cellStyles count="1">
    <cellStyle name="표준" xfId="0" builtinId="0"/>
  </cellStyles>
  <dxfs count="6">
    <dxf>
      <fill>
        <patternFill patternType="solid">
          <fgColor rgb="FFF8D7DA"/>
        </patternFill>
      </fill>
    </dxf>
    <dxf>
      <fill>
        <patternFill patternType="solid">
          <fgColor rgb="FFFFF2CC"/>
        </patternFill>
      </fill>
    </dxf>
    <dxf>
      <fill>
        <patternFill patternType="solid">
          <fgColor rgb="FFD9F2D9"/>
        </patternFill>
      </fill>
    </dxf>
    <dxf>
      <fill>
        <patternFill patternType="solid">
          <fgColor rgb="FFF8D7DA"/>
        </patternFill>
      </fill>
    </dxf>
    <dxf>
      <fill>
        <patternFill patternType="solid">
          <fgColor rgb="FFFFF2CC"/>
        </patternFill>
      </fill>
    </dxf>
    <dxf>
      <fill>
        <patternFill patternType="solid">
          <fgColor rgb="FFD9F2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0</xdr:rowOff>
    </xdr:from>
    <xdr:ext cx="14287500" cy="23336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4</xdr:row>
      <xdr:rowOff>0</xdr:rowOff>
    </xdr:from>
    <xdr:ext cx="14287500" cy="161925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5</xdr:row>
      <xdr:rowOff>0</xdr:rowOff>
    </xdr:from>
    <xdr:ext cx="14287500" cy="2047875"/>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6</xdr:row>
      <xdr:rowOff>0</xdr:rowOff>
    </xdr:from>
    <xdr:ext cx="14287500" cy="211455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7</xdr:row>
      <xdr:rowOff>0</xdr:rowOff>
    </xdr:from>
    <xdr:ext cx="14287500" cy="1323975"/>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8</xdr:row>
      <xdr:rowOff>0</xdr:rowOff>
    </xdr:from>
    <xdr:ext cx="14287500" cy="1762125"/>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9</xdr:row>
      <xdr:rowOff>0</xdr:rowOff>
    </xdr:from>
    <xdr:ext cx="14287500" cy="1066800"/>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10</xdr:row>
      <xdr:rowOff>0</xdr:rowOff>
    </xdr:from>
    <xdr:ext cx="14287500" cy="24765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11</xdr:row>
      <xdr:rowOff>0</xdr:rowOff>
    </xdr:from>
    <xdr:ext cx="14287500" cy="1514475"/>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12</xdr:row>
      <xdr:rowOff>0</xdr:rowOff>
    </xdr:from>
    <xdr:ext cx="14287500" cy="150495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13</xdr:row>
      <xdr:rowOff>0</xdr:rowOff>
    </xdr:from>
    <xdr:ext cx="14287500" cy="1685925"/>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14</xdr:row>
      <xdr:rowOff>0</xdr:rowOff>
    </xdr:from>
    <xdr:ext cx="14287500" cy="167640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8"/>
  <sheetViews>
    <sheetView tabSelected="1" workbookViewId="0">
      <selection sqref="A1:B1"/>
    </sheetView>
  </sheetViews>
  <sheetFormatPr defaultRowHeight="16.5" x14ac:dyDescent="0.3"/>
  <cols>
    <col min="1" max="1" width="34" customWidth="1"/>
    <col min="2" max="2" width="118" customWidth="1"/>
  </cols>
  <sheetData>
    <row r="1" spans="1:2" ht="42" customHeight="1" x14ac:dyDescent="0.6">
      <c r="A1" s="14" t="s">
        <v>0</v>
      </c>
      <c r="B1" s="15"/>
    </row>
    <row r="3" spans="1:2" ht="63.95" customHeight="1" x14ac:dyDescent="0.3">
      <c r="A3" s="1" t="s">
        <v>1</v>
      </c>
      <c r="B3" s="2" t="s">
        <v>2</v>
      </c>
    </row>
    <row r="4" spans="1:2" ht="63.95" customHeight="1" x14ac:dyDescent="0.3">
      <c r="A4" s="1" t="s">
        <v>3</v>
      </c>
      <c r="B4" s="2" t="s">
        <v>4</v>
      </c>
    </row>
    <row r="5" spans="1:2" ht="63.95" customHeight="1" x14ac:dyDescent="0.3">
      <c r="A5" s="1" t="s">
        <v>5</v>
      </c>
      <c r="B5" s="2" t="s">
        <v>6</v>
      </c>
    </row>
    <row r="6" spans="1:2" ht="63.95" customHeight="1" x14ac:dyDescent="0.3">
      <c r="A6" s="1" t="s">
        <v>7</v>
      </c>
      <c r="B6" s="2" t="s">
        <v>8</v>
      </c>
    </row>
    <row r="8" spans="1:2" ht="26.25" x14ac:dyDescent="0.5">
      <c r="A8" s="3" t="s">
        <v>9</v>
      </c>
    </row>
    <row r="9" spans="1:2" ht="20.25" x14ac:dyDescent="0.3">
      <c r="A9" s="4" t="s">
        <v>10</v>
      </c>
      <c r="B9" s="1" t="s">
        <v>11</v>
      </c>
    </row>
    <row r="10" spans="1:2" ht="32.1" customHeight="1" x14ac:dyDescent="0.3">
      <c r="A10" s="5" t="s">
        <v>12</v>
      </c>
      <c r="B10" s="2" t="str">
        <f>"PASS "&amp;COUNTIF('헤일로 전후 비교'!J5:J16,"PASS")&amp;"  /  주의 "&amp;COUNTIF('헤일로 전후 비교'!J5:J16,"주의")&amp;"  /  FAIL "&amp;COUNTIF('헤일로 전후 비교'!J5:J16,"FAIL")</f>
        <v>PASS 3  /  주의 1  /  FAIL 8</v>
      </c>
    </row>
    <row r="11" spans="1:2" ht="32.1" customHeight="1" x14ac:dyDescent="0.3">
      <c r="A11" s="5" t="s">
        <v>13</v>
      </c>
      <c r="B11" s="2" t="str">
        <f>"PASS "&amp;COUNTIF('헤일로 전후 비교'!G5:G16,"PASS")&amp;"  /  주의 "&amp;COUNTIF('헤일로 전후 비교'!G5:G16,"주의")&amp;"  /  FAIL "&amp;COUNTIF('헤일로 전후 비교'!G5:G16,"FAIL")</f>
        <v>PASS 12  /  주의 0  /  FAIL 0</v>
      </c>
    </row>
    <row r="12" spans="1:2" ht="32.1" customHeight="1" x14ac:dyDescent="0.3">
      <c r="A12" s="5" t="s">
        <v>14</v>
      </c>
      <c r="B12" s="6">
        <f>MEDIAN('헤일로 전후 비교'!F5:F16)</f>
        <v>2.6645816242821985</v>
      </c>
    </row>
    <row r="14" spans="1:2" ht="26.25" x14ac:dyDescent="0.5">
      <c r="A14" s="3" t="s">
        <v>15</v>
      </c>
    </row>
    <row r="15" spans="1:2" ht="72" customHeight="1" x14ac:dyDescent="0.3">
      <c r="A15" s="1" t="s">
        <v>16</v>
      </c>
      <c r="B15" s="2" t="s">
        <v>17</v>
      </c>
    </row>
    <row r="16" spans="1:2" ht="72" customHeight="1" x14ac:dyDescent="0.3">
      <c r="A16" s="1" t="s">
        <v>18</v>
      </c>
      <c r="B16" s="2" t="s">
        <v>19</v>
      </c>
    </row>
    <row r="17" spans="1:2" ht="72" customHeight="1" x14ac:dyDescent="0.3">
      <c r="A17" s="1" t="s">
        <v>20</v>
      </c>
      <c r="B17" s="2" t="s">
        <v>21</v>
      </c>
    </row>
    <row r="18" spans="1:2" ht="72" customHeight="1" x14ac:dyDescent="0.3">
      <c r="A18" s="1" t="s">
        <v>22</v>
      </c>
      <c r="B18" s="2" t="s">
        <v>23</v>
      </c>
    </row>
  </sheetData>
  <mergeCells count="1">
    <mergeCell ref="A1:B1"/>
  </mergeCells>
  <phoneticPr fontId="8" type="noConversion"/>
  <pageMargins left="0.75" right="0.75" top="1" bottom="1" header="0.5" footer="0.5"/>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9"/>
  <sheetViews>
    <sheetView workbookViewId="0">
      <pane xSplit="2" ySplit="4" topLeftCell="C5" activePane="bottomRight" state="frozen"/>
      <selection pane="topRight"/>
      <selection pane="bottomLeft"/>
      <selection pane="bottomRight"/>
    </sheetView>
  </sheetViews>
  <sheetFormatPr defaultRowHeight="16.5" x14ac:dyDescent="0.3"/>
  <cols>
    <col min="1" max="1" width="7" customWidth="1"/>
    <col min="2" max="2" width="26" customWidth="1"/>
    <col min="3" max="3" width="16" customWidth="1"/>
    <col min="4" max="5" width="14" customWidth="1"/>
    <col min="6" max="10" width="16" customWidth="1"/>
  </cols>
  <sheetData>
    <row r="1" spans="1:10" ht="42" customHeight="1" x14ac:dyDescent="0.6">
      <c r="A1" s="14" t="s">
        <v>24</v>
      </c>
      <c r="B1" s="15"/>
      <c r="C1" s="15"/>
      <c r="D1" s="15"/>
      <c r="E1" s="15"/>
      <c r="F1" s="15"/>
      <c r="G1" s="15"/>
      <c r="H1" s="15"/>
      <c r="I1" s="15"/>
      <c r="J1" s="15"/>
    </row>
    <row r="2" spans="1:10" ht="48" customHeight="1" x14ac:dyDescent="0.3">
      <c r="A2" s="16" t="s">
        <v>25</v>
      </c>
      <c r="B2" s="15"/>
      <c r="C2" s="15"/>
      <c r="D2" s="15"/>
      <c r="E2" s="15"/>
      <c r="F2" s="15"/>
      <c r="G2" s="15"/>
      <c r="H2" s="15"/>
      <c r="I2" s="15"/>
      <c r="J2" s="15"/>
    </row>
    <row r="4" spans="1:10" ht="63.95" customHeight="1" x14ac:dyDescent="0.3">
      <c r="A4" s="7" t="s">
        <v>26</v>
      </c>
      <c r="B4" s="7" t="s">
        <v>27</v>
      </c>
      <c r="C4" s="7" t="s">
        <v>28</v>
      </c>
      <c r="D4" s="7" t="s">
        <v>29</v>
      </c>
      <c r="E4" s="7" t="s">
        <v>30</v>
      </c>
      <c r="F4" s="7" t="s">
        <v>31</v>
      </c>
      <c r="G4" s="7" t="s">
        <v>32</v>
      </c>
      <c r="H4" s="7" t="s">
        <v>33</v>
      </c>
      <c r="I4" s="7" t="s">
        <v>34</v>
      </c>
      <c r="J4" s="7" t="s">
        <v>35</v>
      </c>
    </row>
    <row r="5" spans="1:10" ht="33.950000000000003" customHeight="1" x14ac:dyDescent="0.3">
      <c r="A5" s="8">
        <v>1</v>
      </c>
      <c r="B5" s="2" t="s">
        <v>36</v>
      </c>
      <c r="C5" s="9">
        <v>0.32200000000000001</v>
      </c>
      <c r="D5" s="10">
        <v>6.08</v>
      </c>
      <c r="E5" s="10">
        <v>6.22</v>
      </c>
      <c r="F5" s="11">
        <f t="shared" ref="F5:F16" si="0">E5/D5</f>
        <v>1.0230263157894737</v>
      </c>
      <c r="G5" s="8" t="str">
        <f>IF(E5&gt;=설정·기준!$B$4,"PASS",IF(E5&gt;=설정·기준!$B$5,"주의","FAIL"))</f>
        <v>PASS</v>
      </c>
      <c r="H5" s="10">
        <v>6.34</v>
      </c>
      <c r="I5" s="10">
        <v>7.22</v>
      </c>
      <c r="J5" s="8" t="str">
        <f>IF(D5&gt;=설정·기준!$B$4,"PASS",IF(D5&gt;=설정·기준!$B$5,"주의","FAIL"))</f>
        <v>PASS</v>
      </c>
    </row>
    <row r="6" spans="1:10" ht="33.950000000000003" customHeight="1" x14ac:dyDescent="0.3">
      <c r="A6" s="8">
        <v>2</v>
      </c>
      <c r="B6" s="2" t="s">
        <v>37</v>
      </c>
      <c r="C6" s="9">
        <v>0.373</v>
      </c>
      <c r="D6" s="10">
        <v>2.2000000000000002</v>
      </c>
      <c r="E6" s="10">
        <v>5.1100000000000003</v>
      </c>
      <c r="F6" s="11">
        <f t="shared" si="0"/>
        <v>2.3227272727272728</v>
      </c>
      <c r="G6" s="8" t="str">
        <f>IF(E6&gt;=설정·기준!$B$4,"PASS",IF(E6&gt;=설정·기준!$B$5,"주의","FAIL"))</f>
        <v>PASS</v>
      </c>
      <c r="H6" s="10">
        <v>7.11</v>
      </c>
      <c r="I6" s="10">
        <v>9.2899999999999991</v>
      </c>
      <c r="J6" s="8" t="str">
        <f>IF(D6&gt;=설정·기준!$B$4,"PASS",IF(D6&gt;=설정·기준!$B$5,"주의","FAIL"))</f>
        <v>FAIL</v>
      </c>
    </row>
    <row r="7" spans="1:10" ht="33.950000000000003" customHeight="1" x14ac:dyDescent="0.3">
      <c r="A7" s="8">
        <v>3</v>
      </c>
      <c r="B7" s="2" t="s">
        <v>38</v>
      </c>
      <c r="C7" s="9">
        <v>0.318</v>
      </c>
      <c r="D7" s="10">
        <v>2.65</v>
      </c>
      <c r="E7" s="10">
        <v>6.95</v>
      </c>
      <c r="F7" s="11">
        <f t="shared" si="0"/>
        <v>2.6226415094339623</v>
      </c>
      <c r="G7" s="8" t="str">
        <f>IF(E7&gt;=설정·기준!$B$4,"PASS",IF(E7&gt;=설정·기준!$B$5,"주의","FAIL"))</f>
        <v>PASS</v>
      </c>
      <c r="H7" s="10">
        <v>6</v>
      </c>
      <c r="I7" s="10">
        <v>9.75</v>
      </c>
      <c r="J7" s="8" t="str">
        <f>IF(D7&gt;=설정·기준!$B$4,"PASS",IF(D7&gt;=설정·기준!$B$5,"주의","FAIL"))</f>
        <v>FAIL</v>
      </c>
    </row>
    <row r="8" spans="1:10" ht="33.950000000000003" customHeight="1" x14ac:dyDescent="0.3">
      <c r="A8" s="8">
        <v>4</v>
      </c>
      <c r="B8" s="2" t="s">
        <v>39</v>
      </c>
      <c r="C8" s="9">
        <v>0.34499999999999997</v>
      </c>
      <c r="D8" s="10">
        <v>2.39</v>
      </c>
      <c r="E8" s="10">
        <v>6.85</v>
      </c>
      <c r="F8" s="11">
        <f t="shared" si="0"/>
        <v>2.8661087866108783</v>
      </c>
      <c r="G8" s="8" t="str">
        <f>IF(E8&gt;=설정·기준!$B$4,"PASS",IF(E8&gt;=설정·기준!$B$5,"주의","FAIL"))</f>
        <v>PASS</v>
      </c>
      <c r="H8" s="10">
        <v>8.09</v>
      </c>
      <c r="I8" s="10">
        <v>9.83</v>
      </c>
      <c r="J8" s="8" t="str">
        <f>IF(D8&gt;=설정·기준!$B$4,"PASS",IF(D8&gt;=설정·기준!$B$5,"주의","FAIL"))</f>
        <v>FAIL</v>
      </c>
    </row>
    <row r="9" spans="1:10" ht="33.950000000000003" customHeight="1" x14ac:dyDescent="0.3">
      <c r="A9" s="8">
        <v>5</v>
      </c>
      <c r="B9" s="2" t="s">
        <v>40</v>
      </c>
      <c r="C9" s="9">
        <v>0.34499999999999997</v>
      </c>
      <c r="D9" s="10">
        <v>2.39</v>
      </c>
      <c r="E9" s="10">
        <v>7.44</v>
      </c>
      <c r="F9" s="11">
        <f t="shared" si="0"/>
        <v>3.1129707112970713</v>
      </c>
      <c r="G9" s="8" t="str">
        <f>IF(E9&gt;=설정·기준!$B$4,"PASS",IF(E9&gt;=설정·기준!$B$5,"주의","FAIL"))</f>
        <v>PASS</v>
      </c>
      <c r="H9" s="10">
        <v>8.0399999999999991</v>
      </c>
      <c r="I9" s="10">
        <v>11.6</v>
      </c>
      <c r="J9" s="8" t="str">
        <f>IF(D9&gt;=설정·기준!$B$4,"PASS",IF(D9&gt;=설정·기준!$B$5,"주의","FAIL"))</f>
        <v>FAIL</v>
      </c>
    </row>
    <row r="10" spans="1:10" ht="33.950000000000003" customHeight="1" x14ac:dyDescent="0.3">
      <c r="A10" s="8">
        <v>6</v>
      </c>
      <c r="B10" s="2" t="s">
        <v>41</v>
      </c>
      <c r="C10" s="9">
        <v>0.32900000000000001</v>
      </c>
      <c r="D10" s="10">
        <v>1.54</v>
      </c>
      <c r="E10" s="10">
        <v>7.59</v>
      </c>
      <c r="F10" s="11">
        <f t="shared" si="0"/>
        <v>4.9285714285714279</v>
      </c>
      <c r="G10" s="8" t="str">
        <f>IF(E10&gt;=설정·기준!$B$4,"PASS",IF(E10&gt;=설정·기준!$B$5,"주의","FAIL"))</f>
        <v>PASS</v>
      </c>
      <c r="H10" s="10">
        <v>9.1</v>
      </c>
      <c r="I10" s="10">
        <v>11.37</v>
      </c>
      <c r="J10" s="8" t="str">
        <f>IF(D10&gt;=설정·기준!$B$4,"PASS",IF(D10&gt;=설정·기준!$B$5,"주의","FAIL"))</f>
        <v>FAIL</v>
      </c>
    </row>
    <row r="11" spans="1:10" ht="33.950000000000003" customHeight="1" x14ac:dyDescent="0.3">
      <c r="A11" s="8">
        <v>7</v>
      </c>
      <c r="B11" s="2" t="s">
        <v>42</v>
      </c>
      <c r="C11" s="9">
        <v>0.32900000000000001</v>
      </c>
      <c r="D11" s="10">
        <v>1.34</v>
      </c>
      <c r="E11" s="10">
        <v>7.82</v>
      </c>
      <c r="F11" s="11">
        <f t="shared" si="0"/>
        <v>5.8358208955223878</v>
      </c>
      <c r="G11" s="8" t="str">
        <f>IF(E11&gt;=설정·기준!$B$4,"PASS",IF(E11&gt;=설정·기준!$B$5,"주의","FAIL"))</f>
        <v>PASS</v>
      </c>
      <c r="H11" s="10">
        <v>9.27</v>
      </c>
      <c r="I11" s="10">
        <v>11.57</v>
      </c>
      <c r="J11" s="8" t="str">
        <f>IF(D11&gt;=설정·기준!$B$4,"PASS",IF(D11&gt;=설정·기준!$B$5,"주의","FAIL"))</f>
        <v>FAIL</v>
      </c>
    </row>
    <row r="12" spans="1:10" ht="33.950000000000003" customHeight="1" x14ac:dyDescent="0.3">
      <c r="A12" s="8">
        <v>8</v>
      </c>
      <c r="B12" s="2" t="s">
        <v>43</v>
      </c>
      <c r="C12" s="9">
        <v>0</v>
      </c>
      <c r="D12" s="10">
        <v>1.18</v>
      </c>
      <c r="E12" s="10">
        <v>5.34</v>
      </c>
      <c r="F12" s="11">
        <f t="shared" si="0"/>
        <v>4.5254237288135597</v>
      </c>
      <c r="G12" s="8" t="str">
        <f>IF(E12&gt;=설정·기준!$B$4,"PASS",IF(E12&gt;=설정·기준!$B$5,"주의","FAIL"))</f>
        <v>PASS</v>
      </c>
      <c r="H12" s="10">
        <v>2.88</v>
      </c>
      <c r="I12" s="10">
        <v>7.41</v>
      </c>
      <c r="J12" s="8" t="str">
        <f>IF(D12&gt;=설정·기준!$B$4,"PASS",IF(D12&gt;=설정·기준!$B$5,"주의","FAIL"))</f>
        <v>FAIL</v>
      </c>
    </row>
    <row r="13" spans="1:10" ht="33.950000000000003" customHeight="1" x14ac:dyDescent="0.3">
      <c r="A13" s="8">
        <v>9</v>
      </c>
      <c r="B13" s="2" t="s">
        <v>44</v>
      </c>
      <c r="C13" s="9">
        <v>0.73699999999999999</v>
      </c>
      <c r="D13" s="10">
        <v>5.53</v>
      </c>
      <c r="E13" s="10">
        <v>7.59</v>
      </c>
      <c r="F13" s="11">
        <f t="shared" si="0"/>
        <v>1.37251356238698</v>
      </c>
      <c r="G13" s="8" t="str">
        <f>IF(E13&gt;=설정·기준!$B$4,"PASS",IF(E13&gt;=설정·기준!$B$5,"주의","FAIL"))</f>
        <v>PASS</v>
      </c>
      <c r="H13" s="10">
        <v>7.88</v>
      </c>
      <c r="I13" s="10">
        <v>8.8800000000000008</v>
      </c>
      <c r="J13" s="8" t="str">
        <f>IF(D13&gt;=설정·기준!$B$4,"PASS",IF(D13&gt;=설정·기준!$B$5,"주의","FAIL"))</f>
        <v>PASS</v>
      </c>
    </row>
    <row r="14" spans="1:10" ht="33.950000000000003" customHeight="1" x14ac:dyDescent="0.3">
      <c r="A14" s="8">
        <v>10</v>
      </c>
      <c r="B14" s="2" t="s">
        <v>45</v>
      </c>
      <c r="C14" s="9">
        <v>0.73699999999999999</v>
      </c>
      <c r="D14" s="10">
        <v>5.68</v>
      </c>
      <c r="E14" s="10">
        <v>7.87</v>
      </c>
      <c r="F14" s="11">
        <f t="shared" si="0"/>
        <v>1.3855633802816902</v>
      </c>
      <c r="G14" s="8" t="str">
        <f>IF(E14&gt;=설정·기준!$B$4,"PASS",IF(E14&gt;=설정·기준!$B$5,"주의","FAIL"))</f>
        <v>PASS</v>
      </c>
      <c r="H14" s="10">
        <v>8.5299999999999994</v>
      </c>
      <c r="I14" s="10">
        <v>9.3000000000000007</v>
      </c>
      <c r="J14" s="8" t="str">
        <f>IF(D14&gt;=설정·기준!$B$4,"PASS",IF(D14&gt;=설정·기준!$B$5,"주의","FAIL"))</f>
        <v>PASS</v>
      </c>
    </row>
    <row r="15" spans="1:10" ht="33.950000000000003" customHeight="1" x14ac:dyDescent="0.3">
      <c r="A15" s="8">
        <v>11</v>
      </c>
      <c r="B15" s="2" t="s">
        <v>46</v>
      </c>
      <c r="C15" s="9">
        <v>0.45900000000000002</v>
      </c>
      <c r="D15" s="10">
        <v>4.24</v>
      </c>
      <c r="E15" s="10">
        <v>8.9</v>
      </c>
      <c r="F15" s="11">
        <f t="shared" si="0"/>
        <v>2.0990566037735849</v>
      </c>
      <c r="G15" s="8" t="str">
        <f>IF(E15&gt;=설정·기준!$B$4,"PASS",IF(E15&gt;=설정·기준!$B$5,"주의","FAIL"))</f>
        <v>PASS</v>
      </c>
      <c r="H15" s="10">
        <v>7.97</v>
      </c>
      <c r="I15" s="10">
        <v>10.72</v>
      </c>
      <c r="J15" s="8" t="str">
        <f>IF(D15&gt;=설정·기준!$B$4,"PASS",IF(D15&gt;=설정·기준!$B$5,"주의","FAIL"))</f>
        <v>주의</v>
      </c>
    </row>
    <row r="16" spans="1:10" ht="33.950000000000003" customHeight="1" x14ac:dyDescent="0.3">
      <c r="A16" s="8">
        <v>12</v>
      </c>
      <c r="B16" s="2" t="s">
        <v>47</v>
      </c>
      <c r="C16" s="9">
        <v>0.56899999999999995</v>
      </c>
      <c r="D16" s="10">
        <v>2.76</v>
      </c>
      <c r="E16" s="10">
        <v>7.47</v>
      </c>
      <c r="F16" s="11">
        <f t="shared" si="0"/>
        <v>2.706521739130435</v>
      </c>
      <c r="G16" s="8" t="str">
        <f>IF(E16&gt;=설정·기준!$B$4,"PASS",IF(E16&gt;=설정·기준!$B$5,"주의","FAIL"))</f>
        <v>PASS</v>
      </c>
      <c r="H16" s="10">
        <v>8.42</v>
      </c>
      <c r="I16" s="10">
        <v>9.4600000000000009</v>
      </c>
      <c r="J16" s="8" t="str">
        <f>IF(D16&gt;=설정·기준!$B$4,"PASS",IF(D16&gt;=설정·기준!$B$5,"주의","FAIL"))</f>
        <v>FAIL</v>
      </c>
    </row>
    <row r="18" spans="1:10" ht="51.95" customHeight="1" x14ac:dyDescent="0.3">
      <c r="A18" s="16" t="s">
        <v>48</v>
      </c>
      <c r="B18" s="15"/>
      <c r="C18" s="15"/>
      <c r="D18" s="15"/>
      <c r="E18" s="15"/>
      <c r="F18" s="15"/>
      <c r="G18" s="15"/>
      <c r="H18" s="15"/>
      <c r="I18" s="15"/>
      <c r="J18" s="15"/>
    </row>
    <row r="19" spans="1:10" ht="51.95" customHeight="1" x14ac:dyDescent="0.3">
      <c r="A19" s="16" t="s">
        <v>49</v>
      </c>
      <c r="B19" s="15"/>
      <c r="C19" s="15"/>
      <c r="D19" s="15"/>
      <c r="E19" s="15"/>
      <c r="F19" s="15"/>
      <c r="G19" s="15"/>
      <c r="H19" s="15"/>
      <c r="I19" s="15"/>
      <c r="J19" s="15"/>
    </row>
  </sheetData>
  <mergeCells count="4">
    <mergeCell ref="A1:J1"/>
    <mergeCell ref="A18:J18"/>
    <mergeCell ref="A19:J19"/>
    <mergeCell ref="A2:J2"/>
  </mergeCells>
  <phoneticPr fontId="8" type="noConversion"/>
  <conditionalFormatting sqref="G5:G16">
    <cfRule type="expression" dxfId="5" priority="1">
      <formula>G5="PASS"</formula>
    </cfRule>
    <cfRule type="expression" dxfId="4" priority="2">
      <formula>G5="주의"</formula>
    </cfRule>
    <cfRule type="expression" dxfId="3" priority="3">
      <formula>G5="FAIL"</formula>
    </cfRule>
  </conditionalFormatting>
  <conditionalFormatting sqref="J5:J16">
    <cfRule type="expression" dxfId="2" priority="4">
      <formula>J5="PASS"</formula>
    </cfRule>
    <cfRule type="expression" dxfId="1" priority="5">
      <formula>J5="주의"</formula>
    </cfRule>
    <cfRule type="expression" dxfId="0" priority="6">
      <formula>J5="FAIL"</formula>
    </cfRule>
  </conditionalFormatting>
  <pageMargins left="0.75" right="0.75" top="1" bottom="1" header="0.5" footer="0.5"/>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9"/>
  <sheetViews>
    <sheetView workbookViewId="0"/>
  </sheetViews>
  <sheetFormatPr defaultRowHeight="16.5" x14ac:dyDescent="0.3"/>
  <cols>
    <col min="1" max="1" width="40" customWidth="1"/>
    <col min="2" max="2" width="16" customWidth="1"/>
    <col min="3" max="3" width="100" customWidth="1"/>
  </cols>
  <sheetData>
    <row r="1" spans="1:3" ht="42" customHeight="1" x14ac:dyDescent="0.6">
      <c r="A1" s="14" t="s">
        <v>50</v>
      </c>
      <c r="B1" s="15"/>
      <c r="C1" s="15"/>
    </row>
    <row r="3" spans="1:3" ht="63.95" customHeight="1" x14ac:dyDescent="0.3">
      <c r="A3" s="7" t="s">
        <v>51</v>
      </c>
      <c r="B3" s="7" t="s">
        <v>52</v>
      </c>
      <c r="C3" s="7" t="s">
        <v>53</v>
      </c>
    </row>
    <row r="4" spans="1:3" ht="48" customHeight="1" x14ac:dyDescent="0.3">
      <c r="A4" s="1" t="s">
        <v>54</v>
      </c>
      <c r="B4" s="12">
        <v>4.5</v>
      </c>
      <c r="C4" s="2" t="s">
        <v>55</v>
      </c>
    </row>
    <row r="5" spans="1:3" ht="48" customHeight="1" x14ac:dyDescent="0.3">
      <c r="A5" s="1" t="s">
        <v>56</v>
      </c>
      <c r="B5" s="12">
        <v>3</v>
      </c>
      <c r="C5" s="2" t="s">
        <v>57</v>
      </c>
    </row>
    <row r="6" spans="1:3" ht="48" customHeight="1" x14ac:dyDescent="0.3">
      <c r="A6" s="1" t="s">
        <v>58</v>
      </c>
      <c r="B6" s="12">
        <v>0.9</v>
      </c>
      <c r="C6" s="2" t="s">
        <v>59</v>
      </c>
    </row>
    <row r="7" spans="1:3" ht="48" customHeight="1" x14ac:dyDescent="0.3">
      <c r="A7" s="1" t="s">
        <v>60</v>
      </c>
      <c r="B7" s="12">
        <v>0.55000000000000004</v>
      </c>
      <c r="C7" s="2" t="s">
        <v>61</v>
      </c>
    </row>
    <row r="8" spans="1:3" ht="48" customHeight="1" x14ac:dyDescent="0.3">
      <c r="A8" s="1" t="s">
        <v>62</v>
      </c>
      <c r="B8" s="12">
        <v>2</v>
      </c>
      <c r="C8" s="2" t="s">
        <v>63</v>
      </c>
    </row>
    <row r="9" spans="1:3" ht="48" customHeight="1" x14ac:dyDescent="0.3">
      <c r="A9" s="1" t="s">
        <v>64</v>
      </c>
      <c r="B9" s="12">
        <v>4</v>
      </c>
      <c r="C9" s="2" t="s">
        <v>65</v>
      </c>
    </row>
  </sheetData>
  <mergeCells count="1">
    <mergeCell ref="A1:C1"/>
  </mergeCells>
  <phoneticPr fontId="8" type="noConversion"/>
  <pageMargins left="0.75" right="0.75" top="1" bottom="1" header="0.5" footer="0.5"/>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5"/>
  <sheetViews>
    <sheetView workbookViewId="0">
      <pane xSplit="1" ySplit="3" topLeftCell="B4" activePane="bottomRight" state="frozen"/>
      <selection pane="topRight"/>
      <selection pane="bottomLeft"/>
      <selection pane="bottomRight"/>
    </sheetView>
  </sheetViews>
  <sheetFormatPr defaultRowHeight="16.5" x14ac:dyDescent="0.3"/>
  <cols>
    <col min="1" max="1" width="28" customWidth="1"/>
    <col min="2" max="2" width="230" customWidth="1"/>
  </cols>
  <sheetData>
    <row r="1" spans="1:2" ht="42" customHeight="1" x14ac:dyDescent="0.6">
      <c r="A1" s="14" t="s">
        <v>66</v>
      </c>
      <c r="B1" s="15"/>
    </row>
    <row r="3" spans="1:2" ht="63.95" customHeight="1" x14ac:dyDescent="0.3">
      <c r="A3" s="7" t="s">
        <v>27</v>
      </c>
      <c r="B3" s="7" t="s">
        <v>67</v>
      </c>
    </row>
    <row r="4" spans="1:2" ht="195.75" customHeight="1" x14ac:dyDescent="0.3">
      <c r="A4" s="2" t="s">
        <v>68</v>
      </c>
      <c r="B4" s="13"/>
    </row>
    <row r="5" spans="1:2" ht="139.5" customHeight="1" x14ac:dyDescent="0.3">
      <c r="A5" s="2" t="s">
        <v>69</v>
      </c>
      <c r="B5" s="13"/>
    </row>
    <row r="6" spans="1:2" ht="173.25" customHeight="1" x14ac:dyDescent="0.3">
      <c r="A6" s="2" t="s">
        <v>70</v>
      </c>
      <c r="B6" s="13"/>
    </row>
    <row r="7" spans="1:2" ht="178.5" customHeight="1" x14ac:dyDescent="0.3">
      <c r="A7" s="2" t="s">
        <v>71</v>
      </c>
      <c r="B7" s="13"/>
    </row>
    <row r="8" spans="1:2" ht="116.25" customHeight="1" x14ac:dyDescent="0.3">
      <c r="A8" s="2" t="s">
        <v>72</v>
      </c>
      <c r="B8" s="13"/>
    </row>
    <row r="9" spans="1:2" ht="150.75" customHeight="1" x14ac:dyDescent="0.3">
      <c r="A9" s="2" t="s">
        <v>73</v>
      </c>
      <c r="B9" s="13"/>
    </row>
    <row r="10" spans="1:2" ht="96" customHeight="1" x14ac:dyDescent="0.3">
      <c r="A10" s="2" t="s">
        <v>74</v>
      </c>
      <c r="B10" s="13"/>
    </row>
    <row r="11" spans="1:2" ht="31.5" customHeight="1" x14ac:dyDescent="0.3">
      <c r="A11" s="2" t="s">
        <v>75</v>
      </c>
      <c r="B11" s="13"/>
    </row>
    <row r="12" spans="1:2" ht="131.25" customHeight="1" x14ac:dyDescent="0.3">
      <c r="A12" s="2" t="s">
        <v>76</v>
      </c>
      <c r="B12" s="13"/>
    </row>
    <row r="13" spans="1:2" ht="130.5" customHeight="1" x14ac:dyDescent="0.3">
      <c r="A13" s="2" t="s">
        <v>77</v>
      </c>
      <c r="B13" s="13"/>
    </row>
    <row r="14" spans="1:2" ht="144.75" customHeight="1" x14ac:dyDescent="0.3">
      <c r="A14" s="2" t="s">
        <v>78</v>
      </c>
      <c r="B14" s="13"/>
    </row>
    <row r="15" spans="1:2" ht="144" customHeight="1" x14ac:dyDescent="0.3">
      <c r="A15" s="2" t="s">
        <v>79</v>
      </c>
      <c r="B15" s="13"/>
    </row>
  </sheetData>
  <mergeCells count="1">
    <mergeCell ref="A1:B1"/>
  </mergeCells>
  <phoneticPr fontId="8" type="noConversion"/>
  <pageMargins left="0.75" right="0.75" top="1" bottom="1" header="0.5" footer="0.5"/>
  <pageSetup paperSize="9"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요약</vt:lpstr>
      <vt:lpstr>헤일로 전후 비교</vt:lpstr>
      <vt:lpstr>설정·기준</vt:lpstr>
      <vt:lpstr>캡처 비교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호권 임</cp:lastModifiedBy>
  <dcterms:created xsi:type="dcterms:W3CDTF">2026-10-07T03:11:58Z</dcterms:created>
  <dcterms:modified xsi:type="dcterms:W3CDTF">2026-10-07T03:12:04Z</dcterms:modified>
</cp:coreProperties>
</file>