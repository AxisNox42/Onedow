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1_Study\02_OpenGL\Onedow\Docs\"/>
    </mc:Choice>
  </mc:AlternateContent>
  <xr:revisionPtr revIDLastSave="0" documentId="13_ncr:1_{C520DC7C-5471-4177-9101-61C4E338A073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요약" sheetId="1" r:id="rId1"/>
    <sheet name="점검 결과" sheetId="2" r:id="rId2"/>
    <sheet name="이슈·권장 조치" sheetId="3" r:id="rId3"/>
    <sheet name="언어·해상도" sheetId="4" r:id="rId4"/>
    <sheet name="방법·가정" sheetId="5" r:id="rId5"/>
    <sheet name="캡처 비교" sheetId="6" r:id="rId6"/>
  </sheets>
  <calcPr calcId="181029"/>
</workbook>
</file>

<file path=xl/calcChain.xml><?xml version="1.0" encoding="utf-8"?>
<calcChain xmlns="http://schemas.openxmlformats.org/spreadsheetml/2006/main">
  <c r="B10" i="5" l="1"/>
  <c r="H13" i="4"/>
  <c r="H12" i="4"/>
  <c r="H11" i="4"/>
  <c r="H10" i="4"/>
  <c r="H9" i="4"/>
  <c r="H8" i="4"/>
  <c r="H7" i="4"/>
  <c r="H6" i="4"/>
  <c r="H5" i="4"/>
  <c r="H4" i="4"/>
  <c r="H3" i="4"/>
  <c r="H2" i="4"/>
  <c r="H16" i="2"/>
  <c r="I16" i="2" s="1"/>
  <c r="L16" i="2" s="1"/>
  <c r="G16" i="2"/>
  <c r="F16" i="2"/>
  <c r="H15" i="2"/>
  <c r="I15" i="2" s="1"/>
  <c r="L15" i="2" s="1"/>
  <c r="G15" i="2"/>
  <c r="F15" i="2"/>
  <c r="H14" i="2"/>
  <c r="I14" i="2" s="1"/>
  <c r="L14" i="2" s="1"/>
  <c r="G14" i="2"/>
  <c r="F14" i="2"/>
  <c r="H13" i="2"/>
  <c r="I13" i="2" s="1"/>
  <c r="L13" i="2" s="1"/>
  <c r="G13" i="2"/>
  <c r="F13" i="2"/>
  <c r="H12" i="2"/>
  <c r="I12" i="2" s="1"/>
  <c r="L12" i="2" s="1"/>
  <c r="G12" i="2"/>
  <c r="F12" i="2"/>
  <c r="H11" i="2"/>
  <c r="I11" i="2" s="1"/>
  <c r="L11" i="2" s="1"/>
  <c r="G11" i="2"/>
  <c r="F11" i="2"/>
  <c r="H10" i="2"/>
  <c r="I10" i="2" s="1"/>
  <c r="L10" i="2" s="1"/>
  <c r="G10" i="2"/>
  <c r="F10" i="2"/>
  <c r="H9" i="2"/>
  <c r="I9" i="2" s="1"/>
  <c r="L9" i="2" s="1"/>
  <c r="G9" i="2"/>
  <c r="F9" i="2"/>
  <c r="H8" i="2"/>
  <c r="I8" i="2" s="1"/>
  <c r="L8" i="2" s="1"/>
  <c r="G8" i="2"/>
  <c r="F8" i="2"/>
  <c r="H7" i="2"/>
  <c r="I7" i="2" s="1"/>
  <c r="L7" i="2" s="1"/>
  <c r="G7" i="2"/>
  <c r="F7" i="2"/>
  <c r="H6" i="2"/>
  <c r="I6" i="2" s="1"/>
  <c r="L6" i="2" s="1"/>
  <c r="G6" i="2"/>
  <c r="F6" i="2"/>
  <c r="H5" i="2"/>
  <c r="I5" i="2" s="1"/>
  <c r="L5" i="2" s="1"/>
  <c r="G5" i="2"/>
  <c r="F5" i="2"/>
  <c r="B13" i="1"/>
  <c r="B12" i="1" l="1"/>
  <c r="B10" i="1"/>
  <c r="B11" i="1"/>
</calcChain>
</file>

<file path=xl/sharedStrings.xml><?xml version="1.0" encoding="utf-8"?>
<sst xmlns="http://schemas.openxmlformats.org/spreadsheetml/2006/main" count="233" uniqueCount="190">
  <si>
    <t>Onedow 블러 OFF UI 스모크 점검 리포트</t>
  </si>
  <si>
    <t>점검일</t>
  </si>
  <si>
    <t>2026-10-07</t>
  </si>
  <si>
    <t>대상 빌드</t>
  </si>
  <si>
    <t>build/windows/x64/Release/WiNILL.exe (작업 트리 기준, 미커밋)</t>
  </si>
  <si>
    <t>점검 방법</t>
  </si>
  <si>
    <t>스모크 캡처(ONEDOW_SMOKE_BLUR=0/1)로 12개 화면을 촬영 → 실제 투명도로 테스트 배경 위에 합성 → 대비비 계산 + 육안 판정</t>
  </si>
  <si>
    <t>점검 범위</t>
  </si>
  <si>
    <t>KR/EN/JP × 2560×1599, KR/EN × 1280×720 (블러 OFF), KR × 2560×1599 (블러 ON 비교)</t>
  </si>
  <si>
    <t>시뮬레이션 검증</t>
  </si>
  <si>
    <t>흰 창을 게임 뒤에 두고 실제 화면을 캡처해 합성 결과와 비교: 평균 픽셀 차 0.5/255 (메인 메뉴), 0.4/255 (일시정지)</t>
  </si>
  <si>
    <t>판정 집계 (블러 OFF 종합)</t>
  </si>
  <si>
    <t>PASS</t>
  </si>
  <si>
    <t>주의</t>
  </si>
  <si>
    <t>FAIL</t>
  </si>
  <si>
    <t>점검 화면 수</t>
  </si>
  <si>
    <t>핵심 결론</t>
  </si>
  <si>
    <t>1. 메뉴 계열 화면</t>
  </si>
  <si>
    <t>메인·런 설정·상점·도감·설정 화면은 블러를 켜도 꺼도 막 불투명도가 약 0.32~0.37로 같습니다. 블러를 끄면 바탕화면의 63~68%가 흐려지지 않은 채 비쳐, 작은 설명·수치·옵션 값이 배경 글자와 섞여 읽을 수 없습니다(FAIL).</t>
  </si>
  <si>
    <t>2. 모달 화면의 막 약화</t>
  </si>
  <si>
    <t>블러를 끄면 일시정지 0.85→0.46, 게임오버 0.88→0.57, 증강 선택 0.93→0.74로 막이 얇아집니다. 특히 게임오버의 수치·라벨과 일시정지 배경이 산만합니다.</t>
  </si>
  <si>
    <t>3. 게임 플레이 HUD</t>
  </si>
  <si>
    <t>HUD 아래에는 막이 없어(불투명도 ≈0) 밝은 바탕화면 위에서는 점수·레벨·조작 안내가 보이지 않습니다. 이 문제는 블러 설정과 무관하게 밝은 배경에서 발생합니다.</t>
  </si>
  <si>
    <t>4. 밝은 배경 대비</t>
  </si>
  <si>
    <t>흰 글자 기준 흰 배경 대비비는 메뉴 계열이 블러 OFF 2.2~2.6:1로 WCAG 최소 기준(4.5:1)에 못 미칩니다. 블러를 켜도 막 불투명도가 같아 2.7~3.4:1(아크릴 틴트 몫만큼 개선)에 그치며, 블러는 주로 배경 무늬를 지워 줍니다.</t>
  </si>
  <si>
    <t>5. 언어·해상도</t>
  </si>
  <si>
    <t>KR/EN/JP와 1280×720에서도 막 불투명도가 같은 수준이라 결론이 동일합니다(1280×720은 0.02~0.05 더 불투명). '언어·해상도' 시트 참조.</t>
  </si>
  <si>
    <t>권장 조치 요약</t>
  </si>
  <si>
    <t>자세한 내용은 '이슈·권장 조치' 시트를 참조하세요.</t>
  </si>
  <si>
    <t>블러 OFF UI 가독성 점검 결과 (KR, 2560×1599)</t>
  </si>
  <si>
    <t>파란 글자 = 스모크 캡처에서 측정한 값(입력값), 검은 글자 = 수식 계산값. 판정 기준과 상수는 '방법·가정' 시트 B열을 참조합니다.</t>
  </si>
  <si>
    <t>No</t>
  </si>
  <si>
    <t>화면</t>
  </si>
  <si>
    <t>진입 경로</t>
  </si>
  <si>
    <t>막 불투명도
블러 ON
(측정)</t>
  </si>
  <si>
    <t>막 불투명도
블러 OFF
(측정)</t>
  </si>
  <si>
    <t>바탕 비침
블러 OFF</t>
  </si>
  <si>
    <t>흰 배경 대비비
블러 ON</t>
  </si>
  <si>
    <t>흰 배경 대비비
블러 OFF</t>
  </si>
  <si>
    <t>대비 판정
(흰 배경, OFF)</t>
  </si>
  <si>
    <t>육안 판정
복잡한 배경</t>
  </si>
  <si>
    <t>육안 판정
흰 배경</t>
  </si>
  <si>
    <t>종합 판정
(블러 OFF)</t>
  </si>
  <si>
    <t>관찰 내용</t>
  </si>
  <si>
    <t>캡처(build/smoke/)</t>
  </si>
  <si>
    <t>메인 메뉴</t>
  </si>
  <si>
    <t>MAIN_MENU</t>
  </si>
  <si>
    <t>좌측 메뉴 버튼은 비네트 덕분에 읽힘. 로고와 우측 구체가 배경 창·글자와 섞임. 흰 배경에서는 회색 위 흰 글자로 대비가 약함.</t>
  </si>
  <si>
    <t>blur0/blur0_KR_01_MENU.png
blur_report/comp/blur0_KR_01_MENU__busy.png</t>
  </si>
  <si>
    <t>런 설정(플레이)</t>
  </si>
  <si>
    <t>MAIN_MENU &gt; PLAY</t>
  </si>
  <si>
    <t>시련 목록 설명·점수 보정, 무기 스탯, 좌측 활성 효과 설명 등 작은 글자가 배경 글자와 섞여 판독 불가. 흰 배경에서는 하늘색·주황 글자가 거의 사라짐.</t>
  </si>
  <si>
    <t>blur0/blur0_KR_02_PLAY.png
blur_report/comp/blur0_KR_02_PLAY__busy.png</t>
  </si>
  <si>
    <t>상점(코어 모듈)</t>
  </si>
  <si>
    <t>MAIN_MENU &gt; SHOP</t>
  </si>
  <si>
    <t>우측 상세의 레벨·비용·보유량 등 작은 수치와 별자리 라벨이 판독 불가. 큰 제목(최대 체력 +20)과 좌측 메뉴만 읽힘.</t>
  </si>
  <si>
    <t>blur0/blur0_KR_03_SHOP.png
blur_report/comp/blur0_KR_03_SHOP__busy.png</t>
  </si>
  <si>
    <t>도감</t>
  </si>
  <si>
    <t>MAIN_MENU &gt; CODEX</t>
  </si>
  <si>
    <t>엔티티 상세(기록 요약, TIER/KILLS/HP 등)와 검색창 안내가 배경과 섞임. 흰 배경에서 상세 수치가 거의 보이지 않음.</t>
  </si>
  <si>
    <t>blur0/blur0_KR_04_CODEX.png
blur_report/comp/blur0_KR_04_CODEX__busy.png</t>
  </si>
  <si>
    <t>도감 검색(결과 없음)</t>
  </si>
  <si>
    <t>CODEX + SEARCH=zzqx</t>
  </si>
  <si>
    <t>'검색 결과 없음' 제목은 읽힘. 아래 안내 문구와 좌측 '검색 결과 0건'은 배경과 섞임.</t>
  </si>
  <si>
    <t>blur0/blur0_KR_05_SEARCH=zzqx.png
blur_report/comp/blur0_KR_05_SEARCH=zzqx__busy.png</t>
  </si>
  <si>
    <t>설정 &gt; 화면</t>
  </si>
  <si>
    <t>MAIN_MENU &gt; SETTINGS</t>
  </si>
  <si>
    <t>좌측 하위 설정 목록, 우측 설정명·옵션 값(꺼짐/켜짐, FPS 값)이 배경 글자와 섞임. 흰 배경에서는 설정명이 거의 보이지 않음.</t>
  </si>
  <si>
    <t>blur0/blur0_KR_06_SETTINGS.png
blur_report/comp/blur0_KR_06_SETTINGS__busy.png</t>
  </si>
  <si>
    <t>설정 &gt; 소리</t>
  </si>
  <si>
    <t>SETTINGS + '소리' 호버</t>
  </si>
  <si>
    <t>설정 &gt; 화면과 동일. 볼륨 슬라이더 막대는 보이나 설정명·옵션 값 판독이 어려움.</t>
  </si>
  <si>
    <t>blur0/blur0_KR_07_WAIT.png
blur_report/comp/blur0_KR_07_WAIT__busy.png</t>
  </si>
  <si>
    <t>게임 플레이 HUD</t>
  </si>
  <si>
    <t>RUN(전투 중)</t>
  </si>
  <si>
    <t>HUD 아래 막이 없어 바탕화면이 그대로 보임(블러를 켜도 막 불투명도는 같고 바탕만 흐려짐). 흰 배경에서는 점수·레벨·조작 안내가 보이지 않음.</t>
  </si>
  <si>
    <t>blur0/blur0_KR_08_RUN.png
blur_report/comp/blur0_KR_08_RUN__busy.png</t>
  </si>
  <si>
    <t>증강 선택</t>
  </si>
  <si>
    <t>RUN &gt; AUG_SELECT</t>
  </si>
  <si>
    <t>카드 이름과 'AUG SELECT'는 읽힘. 원형 UI 뒤로 배경 창 무늬가 비쳐 산만함. 좌상단 보유 증강 목록의 작은 글자는 섞임.</t>
  </si>
  <si>
    <t>blur0/blur0_KR_11_AUGSEL=D_BLEED.png
blur_report/comp/blur0_KR_11_AUGSEL=D_BLEED__busy.png</t>
  </si>
  <si>
    <t>증강 상세(카드 호버)</t>
  </si>
  <si>
    <t>AUG_SELECT + 카드 호버</t>
  </si>
  <si>
    <t>상세 패널 제목은 읽히나 MECHANIC 설명 등 작은 글자 뒤로 배경 무늬가 비침.</t>
  </si>
  <si>
    <t>blur0/blur0_KR_12_WAIT.png
blur_report/comp/blur0_KR_12_WAIT__busy.png</t>
  </si>
  <si>
    <t>일시정지</t>
  </si>
  <si>
    <t>RUN &gt; PAUSED</t>
  </si>
  <si>
    <t>블러를 끄면 막 불투명도가 0.85→0.46으로 떨어져 배경 창이 선명하게 보임. 메뉴 글자는 읽히지만 산만함.</t>
  </si>
  <si>
    <t>blur0/blur0_KR_13_PAUSED.png
blur_report/comp/blur0_KR_13_PAUSED__busy.png</t>
  </si>
  <si>
    <t>게임오버(플레이 리포트)</t>
  </si>
  <si>
    <t>RUN &gt; 포기 &gt; GAMEOVER</t>
  </si>
  <si>
    <t>최종 점수·최고 기록 등 수치와 라벨이 배경 글자와 섞임. 우측 빌드 별자리 라벨도 판독 어려움.</t>
  </si>
  <si>
    <t>blur0/blur0_KR_14_GAMEOVER.png
blur_report/comp/blur0_KR_14_GAMEOVER__busy.png</t>
  </si>
  <si>
    <t>※ 육안 판정(J·K열)은 합성 이미지를 직접 검토한 결과로, 측정값이 아닌 판단입니다. 대비비(G·H열)는 흰 글자를 가정한 최선의 경우이며 하늘색·주황 글자는 이보다 낮습니다.</t>
  </si>
  <si>
    <t>ID</t>
  </si>
  <si>
    <t>심각도</t>
  </si>
  <si>
    <t>대상 화면</t>
  </si>
  <si>
    <t>문제</t>
  </si>
  <si>
    <t>권장 조치</t>
  </si>
  <si>
    <t>근거</t>
  </si>
  <si>
    <t>B-01</t>
  </si>
  <si>
    <t>High</t>
  </si>
  <si>
    <t>런 설정·상점·도감·설정</t>
  </si>
  <si>
    <t>블러 OFF 시 막 불투명도 0.32~0.37로 작은 글자(설명·수치·옵션 값)가 바탕화면 글자와 섞여 판독 불가.</t>
  </si>
  <si>
    <t>블러 OFF일 때만 메뉴 배경 막을 올림. 흰 배경 대비 4.5:1에 필요한 최소 불투명도는 '방법·가정' B10(≈0.54), 무늬 간섭까지 줄이려면 0.85 이상 권장. 공통 배경(DrawMenuBackground)에서 한 번에 처리 가능.</t>
  </si>
  <si>
    <t>점검 결과 No 2~7</t>
  </si>
  <si>
    <t>B-02</t>
  </si>
  <si>
    <t>HUD 아래 막이 없어 밝은 바탕화면 위에서 점수·레벨·조작 안내가 보이지 않음(블러 설정과 무관).</t>
  </si>
  <si>
    <t>HUD 글자에 외곽선/그림자 또는 반투명 판을 추가. 전투 화면 전체에 막을 깔면 오버레이 게임 성격이 바뀌므로 글자 단위 보강을 권장.</t>
  </si>
  <si>
    <t>점검 결과 No 8</t>
  </si>
  <si>
    <t>B-03</t>
  </si>
  <si>
    <t>Medium</t>
  </si>
  <si>
    <t>게임오버</t>
  </si>
  <si>
    <t>블러 OFF 시 막 0.57로 최종 점수·최고 기록 등 수치와 라벨이 배경과 섞임.</t>
  </si>
  <si>
    <t>블러 OFF 경로에서도 ON과 같은 수준(≈0.88)의 막을 그림.</t>
  </si>
  <si>
    <t>점검 결과 No 12</t>
  </si>
  <si>
    <t>B-04</t>
  </si>
  <si>
    <t>블러 OFF 시 막이 0.85→0.46으로 떨어져 배경이 선명하게 비침.</t>
  </si>
  <si>
    <t>블러 OFF 경로에서도 ON과 같은 수준(≈0.85)의 막을 그림.</t>
  </si>
  <si>
    <t>점검 결과 No 11</t>
  </si>
  <si>
    <t>B-05</t>
  </si>
  <si>
    <t>Low</t>
  </si>
  <si>
    <t>증강 선택·상세</t>
  </si>
  <si>
    <t>막 0.74로 큰 글자는 읽히나 상세 패널 작은 글자 뒤로 무늬가 비침.</t>
  </si>
  <si>
    <t>상세 패널에 불투명 판(≈0.9)을 깔거나 막을 0.85로 상향.</t>
  </si>
  <si>
    <t>점검 결과 No 9~10</t>
  </si>
  <si>
    <t>B-06</t>
  </si>
  <si>
    <t>메인 메뉴·검색 결과 없음</t>
  </si>
  <si>
    <t>큰 글자는 읽히나 로고·안내 문구가 배경과 섞임.</t>
  </si>
  <si>
    <t>B-01 조치로 함께 해결됨.</t>
  </si>
  <si>
    <t>점검 결과 No 1, 5</t>
  </si>
  <si>
    <t>OFF 2560 KR</t>
  </si>
  <si>
    <t>OFF 2560 EN</t>
  </si>
  <si>
    <t>OFF 2560 JP</t>
  </si>
  <si>
    <t>OFF 1280 KR</t>
  </si>
  <si>
    <t>OFF 1280 EN</t>
  </si>
  <si>
    <t>ON 2560 KR</t>
  </si>
  <si>
    <t>OFF 최대-최소 차</t>
  </si>
  <si>
    <t>값은 각 캡처의 알파 채널 중앙값(막 불투명도)입니다. 파란 글자 = 측정값.</t>
  </si>
  <si>
    <t>방법·가정</t>
  </si>
  <si>
    <t>항목</t>
  </si>
  <si>
    <t>값</t>
  </si>
  <si>
    <t>설명·출처</t>
  </si>
  <si>
    <t>흰 배경 sRGB 값</t>
  </si>
  <si>
    <t>최악의 경우로 가정한 바탕화면(흰 문서·브라우저).</t>
  </si>
  <si>
    <t>상수 참조 위치</t>
  </si>
  <si>
    <t>B4~B10</t>
  </si>
  <si>
    <t>'점검 결과' 시트의 대비비·판정 수식이 이 표의 B6~B8을 참조합니다.</t>
  </si>
  <si>
    <t>아크릴 틴트 불투명도(블러 ON)</t>
  </si>
  <si>
    <t>WiNILL/System/WindowFx.cpp gradientColor 알파 0x18(24/255). 블러 ON일 때 DWM이 바탕 위에 덧씌우는 진한 남색 막.</t>
  </si>
  <si>
    <t>대비 PASS 기준</t>
  </si>
  <si>
    <t>WCAG 2.x 일반 텍스트 최소 대비(AA).</t>
  </si>
  <si>
    <t>대비 주의 기준</t>
  </si>
  <si>
    <t>WCAG 2.x 큰 텍스트 최소 대비. 이 값 미만은 FAIL.</t>
  </si>
  <si>
    <t>목표 대비(권장)</t>
  </si>
  <si>
    <t>B10 계산에 쓰는 목표 대비비.</t>
  </si>
  <si>
    <t>필요 최소 막 불투명도</t>
  </si>
  <si>
    <t>흰 배경에서 흰 글자가 B9 대비를 내려면 필요한 막 불투명도(수식). 배경 무늬 간섭까지 줄이려면 이보다 높게(≈0.85) 잡는 것을 권장.</t>
  </si>
  <si>
    <t>점검 절차</t>
  </si>
  <si>
    <t>1. 캡처</t>
  </si>
  <si>
    <t>scripts/smoke_ui.ps1 -Blur 0|1 로 Release 빌드를 실행. ONEDOW_SMOKE_BLUR가 세이브의 배경 블러 설정을 덮어쓰며 세이브는 저장하지 않음. 장면: MENU, PLAY, SHOP, CODEX, SEARCH=zzqx, SETTINGS(+소리 호버), RUN, AUGSEL=D_BLEED(+카드 호버), PAUSED, GAMEOVER.</t>
  </si>
  <si>
    <t>2. 투명도 측정</t>
  </si>
  <si>
    <t>캡처 PNG는 OpenGL 백버퍼(미리 곱한 알파 RGBA). 알파 중앙값을 그 화면의 '막 불투명도'로 사용.</t>
  </si>
  <si>
    <t>3. 합성</t>
  </si>
  <si>
    <t>DWM 합성식: 결과 = 게임RGB + 배경RGB × (1 − α). 배경은 흰 문서, 창·글자가 많은 복잡한 바탕화면(합성 생성), 그리고 블러 ON 비교용으로 같은 바탕화면을 가우시안 블러한 것.</t>
  </si>
  <si>
    <t>4. 실측 검증</t>
  </si>
  <si>
    <t>흰 전체화면 창을 게임 뒤에 띄우고 실제 화면을 캡처해 합성 결과와 비교: 평균 픽셀 차 0.5/255(메인 메뉴), 0.4/255(일시정지). 사용자 바탕화면이 찍히지 않도록 실측 화면은 리포트에 넣지 않음.</t>
  </si>
  <si>
    <t>5. 대비 계산</t>
  </si>
  <si>
    <t>흰 배경 위 합성값 V=(1−α)·(1−틴트), 상대휘도 L=sRGB→선형 변환, 흰 글자 대비=1.05/(L+0.05). 흰 글자 가정이라 실제 하늘색·주황 글자는 더 낮음.</t>
  </si>
  <si>
    <t>6. 육안 판정</t>
  </si>
  <si>
    <t>복잡한 배경·흰 배경 합성 이미지를 화면별로 검토해 PASS/주의/FAIL을 기록. 측정이 아닌 판단이므로 '점검 결과' J·K열에 따로 둠.</t>
  </si>
  <si>
    <t>한계</t>
  </si>
  <si>
    <t>합성 바탕화면은 최악의 경우를 가정한 예시이며 실제 사용 환경의 바탕화면은 다양함. 블러 ON의 아크릴 질감은 가우시안 블러로 근사.</t>
  </si>
  <si>
    <t>글꼴</t>
  </si>
  <si>
    <t>본문 14pt(≈18.7px) 이상, 머리글 16pt, 제목 22pt(맑은 고딕). 요청 기준 18px = 13.5pt.</t>
  </si>
  <si>
    <t>블러 ON (흐린 복잡 배경)</t>
  </si>
  <si>
    <t>블러 OFF (복잡한 배경)</t>
  </si>
  <si>
    <t>블러 OFF (흰 배경)</t>
  </si>
  <si>
    <t>1. 메인 메뉴</t>
  </si>
  <si>
    <t>2. 런 설정(플레이)</t>
  </si>
  <si>
    <t>3. 상점(코어 모듈)</t>
  </si>
  <si>
    <t>4. 도감</t>
  </si>
  <si>
    <t>5. 도감 검색(결과 없음)</t>
  </si>
  <si>
    <t>6. 설정 &gt; 화면</t>
  </si>
  <si>
    <t>7. 설정 &gt; 소리</t>
  </si>
  <si>
    <t>8. 게임 플레이 HUD</t>
  </si>
  <si>
    <t>9. 증강 선택</t>
  </si>
  <si>
    <t>10. 증강 상세(카드 호버)</t>
  </si>
  <si>
    <t>11. 일시정지</t>
  </si>
  <si>
    <t>12. 게임오버(플레이 리포트)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</si>
</sst>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&quot;:1&quot;"/>
  </numFmts>
  <fonts count="9" x14ac:knownFonts="1">
    <font>
      <sz val="11"/>
      <color theme="1"/>
      <name val="맑은 고딕"/>
      <family val="2"/>
      <scheme val="minor"/>
    </font>
    <font>
      <b/>
      <sz val="22"/>
      <color rgb="FF1F3A5F"/>
      <name val="맑은 고딕"/>
      <family val="3"/>
      <charset val="129"/>
    </font>
    <font>
      <sz val="14"/>
      <color rgb="FF44546A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rgb="FF0000FF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6"/>
      <color rgb="FF1F3A5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8EEF5"/>
      </patternFill>
    </fill>
  </fills>
  <borders count="3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6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/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0" borderId="0" xfId="0" applyFont="1"/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</cellXfs>
  <cellStyles count="1">
    <cellStyle name="표준" xfId="0" builtinId="0"/>
  </cellStyles>
  <dxfs count="6">
    <dxf>
      <fill>
        <patternFill patternType="solid">
          <fgColor rgb="FFD9F2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F2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45720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</xdr:row>
      <xdr:rowOff>0</xdr:rowOff>
    </xdr:from>
    <xdr:ext cx="4572000" cy="2857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2857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4572000" cy="2857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4572000" cy="2857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2857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4572000" cy="2857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4572000" cy="2857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2857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4572000" cy="2857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4572000" cy="2857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2857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4572000" cy="2857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4572000" cy="2857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2857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4572000" cy="2857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4572000" cy="2857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2857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4572000" cy="2857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4572000" cy="2857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4572000" cy="2857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4572000" cy="2857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4572000" cy="2857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4572000" cy="2857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4572000" cy="2857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4572000" cy="2857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4572000" cy="2857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4572000" cy="2857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4572000" cy="2857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4572000" cy="2857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4572000" cy="2857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4572000" cy="2857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4572000" cy="28575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4572000" cy="28575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4572000" cy="28575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3"/>
  <sheetViews>
    <sheetView tabSelected="1" workbookViewId="0">
      <selection sqref="A1:B1"/>
    </sheetView>
  </sheetViews>
  <sheetFormatPr defaultRowHeight="16.5" x14ac:dyDescent="0.3"/>
  <cols>
    <col min="1" max="1" width="34" customWidth="1"/>
    <col min="2" max="2" width="120" customWidth="1"/>
  </cols>
  <sheetData>
    <row r="1" spans="1:2" ht="42" customHeight="1" x14ac:dyDescent="0.6">
      <c r="A1" s="15" t="s">
        <v>0</v>
      </c>
      <c r="B1" s="16"/>
    </row>
    <row r="3" spans="1:2" ht="45.95" customHeight="1" x14ac:dyDescent="0.3">
      <c r="A3" s="2" t="s">
        <v>1</v>
      </c>
      <c r="B3" s="3" t="s">
        <v>2</v>
      </c>
    </row>
    <row r="4" spans="1:2" ht="45.95" customHeight="1" x14ac:dyDescent="0.3">
      <c r="A4" s="2" t="s">
        <v>3</v>
      </c>
      <c r="B4" s="3" t="s">
        <v>4</v>
      </c>
    </row>
    <row r="5" spans="1:2" ht="45.95" customHeight="1" x14ac:dyDescent="0.3">
      <c r="A5" s="2" t="s">
        <v>5</v>
      </c>
      <c r="B5" s="3" t="s">
        <v>6</v>
      </c>
    </row>
    <row r="6" spans="1:2" ht="45.95" customHeight="1" x14ac:dyDescent="0.3">
      <c r="A6" s="2" t="s">
        <v>7</v>
      </c>
      <c r="B6" s="3" t="s">
        <v>8</v>
      </c>
    </row>
    <row r="7" spans="1:2" ht="45.95" customHeight="1" x14ac:dyDescent="0.3">
      <c r="A7" s="2" t="s">
        <v>9</v>
      </c>
      <c r="B7" s="3" t="s">
        <v>10</v>
      </c>
    </row>
    <row r="9" spans="1:2" ht="26.25" x14ac:dyDescent="0.5">
      <c r="A9" s="4" t="s">
        <v>11</v>
      </c>
    </row>
    <row r="10" spans="1:2" ht="30" customHeight="1" x14ac:dyDescent="0.3">
      <c r="A10" s="5" t="s">
        <v>12</v>
      </c>
      <c r="B10" s="3">
        <f>COUNTIF('점검 결과'!$L$5:$L$16,A10)</f>
        <v>0</v>
      </c>
    </row>
    <row r="11" spans="1:2" ht="30" customHeight="1" x14ac:dyDescent="0.3">
      <c r="A11" s="5" t="s">
        <v>13</v>
      </c>
      <c r="B11" s="3">
        <f>COUNTIF('점검 결과'!$L$5:$L$16,A11)</f>
        <v>3</v>
      </c>
    </row>
    <row r="12" spans="1:2" ht="30" customHeight="1" x14ac:dyDescent="0.3">
      <c r="A12" s="5" t="s">
        <v>14</v>
      </c>
      <c r="B12" s="3">
        <f>COUNTIF('점검 결과'!$L$5:$L$16,A12)</f>
        <v>9</v>
      </c>
    </row>
    <row r="13" spans="1:2" ht="20.25" x14ac:dyDescent="0.3">
      <c r="A13" s="5" t="s">
        <v>15</v>
      </c>
      <c r="B13" s="3">
        <f>COUNTA('점검 결과'!$B$5:$B$16)</f>
        <v>12</v>
      </c>
    </row>
    <row r="15" spans="1:2" ht="26.25" x14ac:dyDescent="0.5">
      <c r="A15" s="4" t="s">
        <v>16</v>
      </c>
    </row>
    <row r="16" spans="1:2" ht="69.95" customHeight="1" x14ac:dyDescent="0.3">
      <c r="A16" s="2" t="s">
        <v>17</v>
      </c>
      <c r="B16" s="3" t="s">
        <v>18</v>
      </c>
    </row>
    <row r="17" spans="1:2" ht="69.95" customHeight="1" x14ac:dyDescent="0.3">
      <c r="A17" s="2" t="s">
        <v>19</v>
      </c>
      <c r="B17" s="3" t="s">
        <v>20</v>
      </c>
    </row>
    <row r="18" spans="1:2" ht="69.95" customHeight="1" x14ac:dyDescent="0.3">
      <c r="A18" s="2" t="s">
        <v>21</v>
      </c>
      <c r="B18" s="3" t="s">
        <v>22</v>
      </c>
    </row>
    <row r="19" spans="1:2" ht="69.95" customHeight="1" x14ac:dyDescent="0.3">
      <c r="A19" s="2" t="s">
        <v>23</v>
      </c>
      <c r="B19" s="3" t="s">
        <v>24</v>
      </c>
    </row>
    <row r="20" spans="1:2" ht="69.95" customHeight="1" x14ac:dyDescent="0.3">
      <c r="A20" s="2" t="s">
        <v>25</v>
      </c>
      <c r="B20" s="3" t="s">
        <v>26</v>
      </c>
    </row>
    <row r="22" spans="1:2" ht="26.25" x14ac:dyDescent="0.5">
      <c r="A22" s="4" t="s">
        <v>27</v>
      </c>
    </row>
    <row r="23" spans="1:2" ht="20.25" x14ac:dyDescent="0.35">
      <c r="A23" s="17" t="s">
        <v>28</v>
      </c>
      <c r="B23" s="16"/>
    </row>
  </sheetData>
  <mergeCells count="2">
    <mergeCell ref="A1:B1"/>
    <mergeCell ref="A23:B23"/>
  </mergeCells>
  <phoneticPr fontId="8" type="noConversion"/>
  <pageMargins left="0.75" right="0.75" top="1" bottom="1" header="0.5" footer="0.5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8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7" customWidth="1"/>
    <col min="2" max="2" width="24" customWidth="1"/>
    <col min="3" max="3" width="26" customWidth="1"/>
    <col min="4" max="5" width="15" customWidth="1"/>
    <col min="6" max="6" width="14" customWidth="1"/>
    <col min="7" max="12" width="16" customWidth="1"/>
    <col min="13" max="13" width="70" customWidth="1"/>
    <col min="14" max="14" width="46" customWidth="1"/>
  </cols>
  <sheetData>
    <row r="1" spans="1:14" ht="39.950000000000003" customHeight="1" x14ac:dyDescent="0.6">
      <c r="A1" s="15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42" customHeight="1" x14ac:dyDescent="0.3">
      <c r="A2" s="18" t="s">
        <v>30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1:14" ht="92.1" customHeight="1" x14ac:dyDescent="0.3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</row>
    <row r="5" spans="1:14" ht="96" customHeight="1" x14ac:dyDescent="0.3">
      <c r="A5" s="7">
        <v>1</v>
      </c>
      <c r="B5" s="3" t="s">
        <v>45</v>
      </c>
      <c r="C5" s="3" t="s">
        <v>46</v>
      </c>
      <c r="D5" s="8">
        <v>0.32200000000000001</v>
      </c>
      <c r="E5" s="8">
        <v>0.32200000000000001</v>
      </c>
      <c r="F5" s="9">
        <f t="shared" ref="F5:F16" si="0">1-E5</f>
        <v>0.67799999999999994</v>
      </c>
      <c r="G5" s="10">
        <f>1.05/(IF((1-D5)*(1-방법·가정!$B$6)&lt;=0.04045,(1-D5)*(1-방법·가정!$B$6)/12.92,(((1-D5)*(1-방법·가정!$B$6)+0.055)/1.055)^2.4)+0.05)</f>
        <v>2.7240535424333201</v>
      </c>
      <c r="H5" s="10">
        <f t="shared" ref="H5:H16" si="1">1.05/(IF((1-E5)&lt;=0.04045,(1-E5)/12.92,(((1-E5)+0.055)/1.055)^2.4)+0.05)</f>
        <v>2.2469725071496733</v>
      </c>
      <c r="I5" s="7" t="str">
        <f>IF(H5&gt;=방법·가정!$B$7,"PASS",IF(H5&gt;=방법·가정!$B$8,"주의","FAIL"))</f>
        <v>FAIL</v>
      </c>
      <c r="J5" s="11" t="s">
        <v>13</v>
      </c>
      <c r="K5" s="11" t="s">
        <v>13</v>
      </c>
      <c r="L5" s="7" t="str">
        <f t="shared" ref="L5:L16" si="2">IF(OR(I5="FAIL",J5="FAIL",K5="FAIL"),"FAIL",IF(OR(I5="주의",J5="주의",K5="주의"),"주의","PASS"))</f>
        <v>FAIL</v>
      </c>
      <c r="M5" s="3" t="s">
        <v>47</v>
      </c>
      <c r="N5" s="3" t="s">
        <v>48</v>
      </c>
    </row>
    <row r="6" spans="1:14" ht="96" customHeight="1" x14ac:dyDescent="0.3">
      <c r="A6" s="7">
        <v>2</v>
      </c>
      <c r="B6" s="3" t="s">
        <v>49</v>
      </c>
      <c r="C6" s="3" t="s">
        <v>50</v>
      </c>
      <c r="D6" s="8">
        <v>0.373</v>
      </c>
      <c r="E6" s="8">
        <v>0.373</v>
      </c>
      <c r="F6" s="9">
        <f t="shared" si="0"/>
        <v>0.627</v>
      </c>
      <c r="G6" s="10">
        <f>1.05/(IF((1-D6)*(1-방법·가정!$B$6)&lt;=0.04045,(1-D6)*(1-방법·가정!$B$6)/12.92,(((1-D6)*(1-방법·가정!$B$6)+0.055)/1.055)^2.4)+0.05)</f>
        <v>3.1575816522775924</v>
      </c>
      <c r="H6" s="10">
        <f t="shared" si="1"/>
        <v>2.6186149392439906</v>
      </c>
      <c r="I6" s="7" t="str">
        <f>IF(H6&gt;=방법·가정!$B$7,"PASS",IF(H6&gt;=방법·가정!$B$8,"주의","FAIL"))</f>
        <v>FAIL</v>
      </c>
      <c r="J6" s="11" t="s">
        <v>14</v>
      </c>
      <c r="K6" s="11" t="s">
        <v>14</v>
      </c>
      <c r="L6" s="7" t="str">
        <f t="shared" si="2"/>
        <v>FAIL</v>
      </c>
      <c r="M6" s="3" t="s">
        <v>51</v>
      </c>
      <c r="N6" s="3" t="s">
        <v>52</v>
      </c>
    </row>
    <row r="7" spans="1:14" ht="96" customHeight="1" x14ac:dyDescent="0.3">
      <c r="A7" s="7">
        <v>3</v>
      </c>
      <c r="B7" s="3" t="s">
        <v>53</v>
      </c>
      <c r="C7" s="3" t="s">
        <v>54</v>
      </c>
      <c r="D7" s="8">
        <v>0.39600000000000002</v>
      </c>
      <c r="E7" s="8">
        <v>0.318</v>
      </c>
      <c r="F7" s="9">
        <f t="shared" si="0"/>
        <v>0.68199999999999994</v>
      </c>
      <c r="G7" s="10">
        <f>1.05/(IF((1-D7)*(1-방법·가정!$B$6)&lt;=0.04045,(1-D7)*(1-방법·가정!$B$6)/12.92,(((1-D7)*(1-방법·가정!$B$6)+0.055)/1.055)^2.4)+0.05)</f>
        <v>3.3829119256413169</v>
      </c>
      <c r="H7" s="10">
        <f t="shared" si="1"/>
        <v>2.2208986605265957</v>
      </c>
      <c r="I7" s="7" t="str">
        <f>IF(H7&gt;=방법·가정!$B$7,"PASS",IF(H7&gt;=방법·가정!$B$8,"주의","FAIL"))</f>
        <v>FAIL</v>
      </c>
      <c r="J7" s="11" t="s">
        <v>14</v>
      </c>
      <c r="K7" s="11" t="s">
        <v>14</v>
      </c>
      <c r="L7" s="7" t="str">
        <f t="shared" si="2"/>
        <v>FAIL</v>
      </c>
      <c r="M7" s="3" t="s">
        <v>55</v>
      </c>
      <c r="N7" s="3" t="s">
        <v>56</v>
      </c>
    </row>
    <row r="8" spans="1:14" ht="96" customHeight="1" x14ac:dyDescent="0.3">
      <c r="A8" s="7">
        <v>4</v>
      </c>
      <c r="B8" s="3" t="s">
        <v>57</v>
      </c>
      <c r="C8" s="3" t="s">
        <v>58</v>
      </c>
      <c r="D8" s="8">
        <v>0.34499999999999997</v>
      </c>
      <c r="E8" s="8">
        <v>0.34499999999999997</v>
      </c>
      <c r="F8" s="9">
        <f t="shared" si="0"/>
        <v>0.65500000000000003</v>
      </c>
      <c r="G8" s="10">
        <f>1.05/(IF((1-D8)*(1-방법·가정!$B$6)&lt;=0.04045,(1-D8)*(1-방법·가정!$B$6)/12.92,(((1-D8)*(1-방법·가정!$B$6)+0.055)/1.055)^2.4)+0.05)</f>
        <v>2.9091345728697711</v>
      </c>
      <c r="H8" s="10">
        <f t="shared" si="1"/>
        <v>2.4051813013000509</v>
      </c>
      <c r="I8" s="7" t="str">
        <f>IF(H8&gt;=방법·가정!$B$7,"PASS",IF(H8&gt;=방법·가정!$B$8,"주의","FAIL"))</f>
        <v>FAIL</v>
      </c>
      <c r="J8" s="11" t="s">
        <v>14</v>
      </c>
      <c r="K8" s="11" t="s">
        <v>14</v>
      </c>
      <c r="L8" s="7" t="str">
        <f t="shared" si="2"/>
        <v>FAIL</v>
      </c>
      <c r="M8" s="3" t="s">
        <v>59</v>
      </c>
      <c r="N8" s="3" t="s">
        <v>60</v>
      </c>
    </row>
    <row r="9" spans="1:14" ht="96" customHeight="1" x14ac:dyDescent="0.3">
      <c r="A9" s="7">
        <v>5</v>
      </c>
      <c r="B9" s="3" t="s">
        <v>61</v>
      </c>
      <c r="C9" s="3" t="s">
        <v>62</v>
      </c>
      <c r="D9" s="8">
        <v>0.34499999999999997</v>
      </c>
      <c r="E9" s="8">
        <v>0.34499999999999997</v>
      </c>
      <c r="F9" s="9">
        <f t="shared" si="0"/>
        <v>0.65500000000000003</v>
      </c>
      <c r="G9" s="10">
        <f>1.05/(IF((1-D9)*(1-방법·가정!$B$6)&lt;=0.04045,(1-D9)*(1-방법·가정!$B$6)/12.92,(((1-D9)*(1-방법·가정!$B$6)+0.055)/1.055)^2.4)+0.05)</f>
        <v>2.9091345728697711</v>
      </c>
      <c r="H9" s="10">
        <f t="shared" si="1"/>
        <v>2.4051813013000509</v>
      </c>
      <c r="I9" s="7" t="str">
        <f>IF(H9&gt;=방법·가정!$B$7,"PASS",IF(H9&gt;=방법·가정!$B$8,"주의","FAIL"))</f>
        <v>FAIL</v>
      </c>
      <c r="J9" s="11" t="s">
        <v>13</v>
      </c>
      <c r="K9" s="11" t="s">
        <v>13</v>
      </c>
      <c r="L9" s="7" t="str">
        <f t="shared" si="2"/>
        <v>FAIL</v>
      </c>
      <c r="M9" s="3" t="s">
        <v>63</v>
      </c>
      <c r="N9" s="3" t="s">
        <v>64</v>
      </c>
    </row>
    <row r="10" spans="1:14" ht="96" customHeight="1" x14ac:dyDescent="0.3">
      <c r="A10" s="7">
        <v>6</v>
      </c>
      <c r="B10" s="3" t="s">
        <v>65</v>
      </c>
      <c r="C10" s="3" t="s">
        <v>66</v>
      </c>
      <c r="D10" s="8">
        <v>0.32900000000000001</v>
      </c>
      <c r="E10" s="8">
        <v>0.32900000000000001</v>
      </c>
      <c r="F10" s="9">
        <f t="shared" si="0"/>
        <v>0.67100000000000004</v>
      </c>
      <c r="G10" s="10">
        <f>1.05/(IF((1-D10)*(1-방법·가정!$B$6)&lt;=0.04045,(1-D10)*(1-방법·가정!$B$6)/12.92,(((1-D10)*(1-방법·가정!$B$6)+0.055)/1.055)^2.4)+0.05)</f>
        <v>2.7786860051307274</v>
      </c>
      <c r="H10" s="10">
        <f t="shared" si="1"/>
        <v>2.2936026085454029</v>
      </c>
      <c r="I10" s="7" t="str">
        <f>IF(H10&gt;=방법·가정!$B$7,"PASS",IF(H10&gt;=방법·가정!$B$8,"주의","FAIL"))</f>
        <v>FAIL</v>
      </c>
      <c r="J10" s="11" t="s">
        <v>14</v>
      </c>
      <c r="K10" s="11" t="s">
        <v>14</v>
      </c>
      <c r="L10" s="7" t="str">
        <f t="shared" si="2"/>
        <v>FAIL</v>
      </c>
      <c r="M10" s="3" t="s">
        <v>67</v>
      </c>
      <c r="N10" s="3" t="s">
        <v>68</v>
      </c>
    </row>
    <row r="11" spans="1:14" ht="96" customHeight="1" x14ac:dyDescent="0.3">
      <c r="A11" s="7">
        <v>7</v>
      </c>
      <c r="B11" s="3" t="s">
        <v>69</v>
      </c>
      <c r="C11" s="3" t="s">
        <v>70</v>
      </c>
      <c r="D11" s="8">
        <v>0.32900000000000001</v>
      </c>
      <c r="E11" s="8">
        <v>0.32900000000000001</v>
      </c>
      <c r="F11" s="9">
        <f t="shared" si="0"/>
        <v>0.67100000000000004</v>
      </c>
      <c r="G11" s="10">
        <f>1.05/(IF((1-D11)*(1-방법·가정!$B$6)&lt;=0.04045,(1-D11)*(1-방법·가정!$B$6)/12.92,(((1-D11)*(1-방법·가정!$B$6)+0.055)/1.055)^2.4)+0.05)</f>
        <v>2.7786860051307274</v>
      </c>
      <c r="H11" s="10">
        <f t="shared" si="1"/>
        <v>2.2936026085454029</v>
      </c>
      <c r="I11" s="7" t="str">
        <f>IF(H11&gt;=방법·가정!$B$7,"PASS",IF(H11&gt;=방법·가정!$B$8,"주의","FAIL"))</f>
        <v>FAIL</v>
      </c>
      <c r="J11" s="11" t="s">
        <v>14</v>
      </c>
      <c r="K11" s="11" t="s">
        <v>14</v>
      </c>
      <c r="L11" s="7" t="str">
        <f t="shared" si="2"/>
        <v>FAIL</v>
      </c>
      <c r="M11" s="3" t="s">
        <v>71</v>
      </c>
      <c r="N11" s="3" t="s">
        <v>72</v>
      </c>
    </row>
    <row r="12" spans="1:14" ht="96" customHeight="1" x14ac:dyDescent="0.3">
      <c r="A12" s="7">
        <v>8</v>
      </c>
      <c r="B12" s="3" t="s">
        <v>73</v>
      </c>
      <c r="C12" s="3" t="s">
        <v>74</v>
      </c>
      <c r="D12" s="8">
        <v>0</v>
      </c>
      <c r="E12" s="8">
        <v>0</v>
      </c>
      <c r="F12" s="9">
        <f t="shared" si="0"/>
        <v>1</v>
      </c>
      <c r="G12" s="10">
        <f>1.05/(IF((1-D12)*(1-방법·가정!$B$6)&lt;=0.04045,(1-D12)*(1-방법·가정!$B$6)/12.92,(((1-D12)*(1-방법·가정!$B$6)+0.055)/1.055)^2.4)+0.05)</f>
        <v>1.2362575658422024</v>
      </c>
      <c r="H12" s="10">
        <f t="shared" si="1"/>
        <v>1</v>
      </c>
      <c r="I12" s="7" t="str">
        <f>IF(H12&gt;=방법·가정!$B$7,"PASS",IF(H12&gt;=방법·가정!$B$8,"주의","FAIL"))</f>
        <v>FAIL</v>
      </c>
      <c r="J12" s="11" t="s">
        <v>13</v>
      </c>
      <c r="K12" s="11" t="s">
        <v>14</v>
      </c>
      <c r="L12" s="7" t="str">
        <f t="shared" si="2"/>
        <v>FAIL</v>
      </c>
      <c r="M12" s="3" t="s">
        <v>75</v>
      </c>
      <c r="N12" s="3" t="s">
        <v>76</v>
      </c>
    </row>
    <row r="13" spans="1:14" ht="96" customHeight="1" x14ac:dyDescent="0.3">
      <c r="A13" s="7">
        <v>9</v>
      </c>
      <c r="B13" s="3" t="s">
        <v>77</v>
      </c>
      <c r="C13" s="3" t="s">
        <v>78</v>
      </c>
      <c r="D13" s="8">
        <v>0.92500000000000004</v>
      </c>
      <c r="E13" s="8">
        <v>0.73699999999999999</v>
      </c>
      <c r="F13" s="9">
        <f t="shared" si="0"/>
        <v>0.26300000000000001</v>
      </c>
      <c r="G13" s="10">
        <f>1.05/(IF((1-D13)*(1-방법·가정!$B$6)&lt;=0.04045,(1-D13)*(1-방법·가정!$B$6)/12.92,(((1-D13)*(1-방법·가정!$B$6)+0.055)/1.055)^2.4)+0.05)</f>
        <v>18.834640958649572</v>
      </c>
      <c r="H13" s="10">
        <f t="shared" si="1"/>
        <v>9.8835978836721647</v>
      </c>
      <c r="I13" s="7" t="str">
        <f>IF(H13&gt;=방법·가정!$B$7,"PASS",IF(H13&gt;=방법·가정!$B$8,"주의","FAIL"))</f>
        <v>PASS</v>
      </c>
      <c r="J13" s="11" t="s">
        <v>13</v>
      </c>
      <c r="K13" s="11" t="s">
        <v>12</v>
      </c>
      <c r="L13" s="7" t="str">
        <f t="shared" si="2"/>
        <v>주의</v>
      </c>
      <c r="M13" s="3" t="s">
        <v>79</v>
      </c>
      <c r="N13" s="3" t="s">
        <v>80</v>
      </c>
    </row>
    <row r="14" spans="1:14" ht="96" customHeight="1" x14ac:dyDescent="0.3">
      <c r="A14" s="7">
        <v>10</v>
      </c>
      <c r="B14" s="3" t="s">
        <v>81</v>
      </c>
      <c r="C14" s="3" t="s">
        <v>82</v>
      </c>
      <c r="D14" s="8">
        <v>0.92500000000000004</v>
      </c>
      <c r="E14" s="8">
        <v>0.73699999999999999</v>
      </c>
      <c r="F14" s="9">
        <f t="shared" si="0"/>
        <v>0.26300000000000001</v>
      </c>
      <c r="G14" s="10">
        <f>1.05/(IF((1-D14)*(1-방법·가정!$B$6)&lt;=0.04045,(1-D14)*(1-방법·가정!$B$6)/12.92,(((1-D14)*(1-방법·가정!$B$6)+0.055)/1.055)^2.4)+0.05)</f>
        <v>18.834640958649572</v>
      </c>
      <c r="H14" s="10">
        <f t="shared" si="1"/>
        <v>9.8835978836721647</v>
      </c>
      <c r="I14" s="7" t="str">
        <f>IF(H14&gt;=방법·가정!$B$7,"PASS",IF(H14&gt;=방법·가정!$B$8,"주의","FAIL"))</f>
        <v>PASS</v>
      </c>
      <c r="J14" s="11" t="s">
        <v>13</v>
      </c>
      <c r="K14" s="11" t="s">
        <v>12</v>
      </c>
      <c r="L14" s="7" t="str">
        <f t="shared" si="2"/>
        <v>주의</v>
      </c>
      <c r="M14" s="3" t="s">
        <v>83</v>
      </c>
      <c r="N14" s="3" t="s">
        <v>84</v>
      </c>
    </row>
    <row r="15" spans="1:14" ht="96" customHeight="1" x14ac:dyDescent="0.3">
      <c r="A15" s="7">
        <v>11</v>
      </c>
      <c r="B15" s="3" t="s">
        <v>85</v>
      </c>
      <c r="C15" s="3" t="s">
        <v>86</v>
      </c>
      <c r="D15" s="8">
        <v>0.84699999999999998</v>
      </c>
      <c r="E15" s="8">
        <v>0.45900000000000002</v>
      </c>
      <c r="F15" s="9">
        <f t="shared" si="0"/>
        <v>0.54099999999999993</v>
      </c>
      <c r="G15" s="10">
        <f>1.05/(IF((1-D15)*(1-방법·가정!$B$6)&lt;=0.04045,(1-D15)*(1-방법·가정!$B$6)/12.92,(((1-D15)*(1-방법·가정!$B$6)+0.055)/1.055)^2.4)+0.05)</f>
        <v>15.649500533401458</v>
      </c>
      <c r="H15" s="10">
        <f t="shared" si="1"/>
        <v>3.454270300821817</v>
      </c>
      <c r="I15" s="7" t="str">
        <f>IF(H15&gt;=방법·가정!$B$7,"PASS",IF(H15&gt;=방법·가정!$B$8,"주의","FAIL"))</f>
        <v>주의</v>
      </c>
      <c r="J15" s="11" t="s">
        <v>13</v>
      </c>
      <c r="K15" s="11" t="s">
        <v>13</v>
      </c>
      <c r="L15" s="7" t="str">
        <f t="shared" si="2"/>
        <v>주의</v>
      </c>
      <c r="M15" s="3" t="s">
        <v>87</v>
      </c>
      <c r="N15" s="3" t="s">
        <v>88</v>
      </c>
    </row>
    <row r="16" spans="1:14" ht="96" customHeight="1" x14ac:dyDescent="0.3">
      <c r="A16" s="7">
        <v>12</v>
      </c>
      <c r="B16" s="3" t="s">
        <v>89</v>
      </c>
      <c r="C16" s="3" t="s">
        <v>90</v>
      </c>
      <c r="D16" s="8">
        <v>0.878</v>
      </c>
      <c r="E16" s="8">
        <v>0.56899999999999995</v>
      </c>
      <c r="F16" s="9">
        <f t="shared" si="0"/>
        <v>0.43100000000000005</v>
      </c>
      <c r="G16" s="10">
        <f>1.05/(IF((1-D16)*(1-방법·가정!$B$6)&lt;=0.04045,(1-D16)*(1-방법·가정!$B$6)/12.92,(((1-D16)*(1-방법·가정!$B$6)+0.055)/1.055)^2.4)+0.05)</f>
        <v>17.00797381938256</v>
      </c>
      <c r="H16" s="10">
        <f t="shared" si="1"/>
        <v>5.1060112069708294</v>
      </c>
      <c r="I16" s="7" t="str">
        <f>IF(H16&gt;=방법·가정!$B$7,"PASS",IF(H16&gt;=방법·가정!$B$8,"주의","FAIL"))</f>
        <v>PASS</v>
      </c>
      <c r="J16" s="11" t="s">
        <v>14</v>
      </c>
      <c r="K16" s="11" t="s">
        <v>13</v>
      </c>
      <c r="L16" s="7" t="str">
        <f t="shared" si="2"/>
        <v>FAIL</v>
      </c>
      <c r="M16" s="3" t="s">
        <v>91</v>
      </c>
      <c r="N16" s="3" t="s">
        <v>92</v>
      </c>
    </row>
    <row r="18" spans="1:14" ht="48" customHeight="1" x14ac:dyDescent="0.3">
      <c r="A18" s="18" t="s">
        <v>93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</sheetData>
  <mergeCells count="3">
    <mergeCell ref="A18:N18"/>
    <mergeCell ref="A2:N2"/>
    <mergeCell ref="A1:N1"/>
  </mergeCells>
  <phoneticPr fontId="8" type="noConversion"/>
  <conditionalFormatting sqref="I5:L16">
    <cfRule type="expression" dxfId="5" priority="1">
      <formula>I5="PASS"</formula>
    </cfRule>
    <cfRule type="expression" dxfId="4" priority="2">
      <formula>I5="주의"</formula>
    </cfRule>
    <cfRule type="expression" dxfId="3" priority="3">
      <formula>I5="FAIL"</formula>
    </cfRule>
  </conditionalFormatting>
  <pageMargins left="0.75" right="0.75" top="1" bottom="1" header="0.5" footer="0.5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8" customWidth="1"/>
    <col min="2" max="2" width="12" customWidth="1"/>
    <col min="3" max="3" width="28" customWidth="1"/>
    <col min="4" max="4" width="60" customWidth="1"/>
    <col min="5" max="5" width="70" customWidth="1"/>
    <col min="6" max="6" width="40" customWidth="1"/>
  </cols>
  <sheetData>
    <row r="1" spans="1:6" ht="48" customHeight="1" x14ac:dyDescent="0.3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</row>
    <row r="2" spans="1:6" ht="110.1" customHeight="1" x14ac:dyDescent="0.3">
      <c r="A2" s="7" t="s">
        <v>100</v>
      </c>
      <c r="B2" s="7" t="s">
        <v>101</v>
      </c>
      <c r="C2" s="3" t="s">
        <v>102</v>
      </c>
      <c r="D2" s="3" t="s">
        <v>103</v>
      </c>
      <c r="E2" s="3" t="s">
        <v>104</v>
      </c>
      <c r="F2" s="3" t="s">
        <v>105</v>
      </c>
    </row>
    <row r="3" spans="1:6" ht="110.1" customHeight="1" x14ac:dyDescent="0.3">
      <c r="A3" s="7" t="s">
        <v>106</v>
      </c>
      <c r="B3" s="7" t="s">
        <v>101</v>
      </c>
      <c r="C3" s="3" t="s">
        <v>73</v>
      </c>
      <c r="D3" s="3" t="s">
        <v>107</v>
      </c>
      <c r="E3" s="3" t="s">
        <v>108</v>
      </c>
      <c r="F3" s="3" t="s">
        <v>109</v>
      </c>
    </row>
    <row r="4" spans="1:6" ht="110.1" customHeight="1" x14ac:dyDescent="0.3">
      <c r="A4" s="7" t="s">
        <v>110</v>
      </c>
      <c r="B4" s="7" t="s">
        <v>111</v>
      </c>
      <c r="C4" s="3" t="s">
        <v>112</v>
      </c>
      <c r="D4" s="3" t="s">
        <v>113</v>
      </c>
      <c r="E4" s="3" t="s">
        <v>114</v>
      </c>
      <c r="F4" s="3" t="s">
        <v>115</v>
      </c>
    </row>
    <row r="5" spans="1:6" ht="110.1" customHeight="1" x14ac:dyDescent="0.3">
      <c r="A5" s="7" t="s">
        <v>116</v>
      </c>
      <c r="B5" s="7" t="s">
        <v>111</v>
      </c>
      <c r="C5" s="3" t="s">
        <v>85</v>
      </c>
      <c r="D5" s="3" t="s">
        <v>117</v>
      </c>
      <c r="E5" s="3" t="s">
        <v>118</v>
      </c>
      <c r="F5" s="3" t="s">
        <v>119</v>
      </c>
    </row>
    <row r="6" spans="1:6" ht="110.1" customHeight="1" x14ac:dyDescent="0.3">
      <c r="A6" s="7" t="s">
        <v>120</v>
      </c>
      <c r="B6" s="7" t="s">
        <v>121</v>
      </c>
      <c r="C6" s="3" t="s">
        <v>122</v>
      </c>
      <c r="D6" s="3" t="s">
        <v>123</v>
      </c>
      <c r="E6" s="3" t="s">
        <v>124</v>
      </c>
      <c r="F6" s="3" t="s">
        <v>125</v>
      </c>
    </row>
    <row r="7" spans="1:6" ht="110.1" customHeight="1" x14ac:dyDescent="0.3">
      <c r="A7" s="7" t="s">
        <v>126</v>
      </c>
      <c r="B7" s="7" t="s">
        <v>121</v>
      </c>
      <c r="C7" s="3" t="s">
        <v>127</v>
      </c>
      <c r="D7" s="3" t="s">
        <v>128</v>
      </c>
      <c r="E7" s="3" t="s">
        <v>129</v>
      </c>
      <c r="F7" s="3" t="s">
        <v>130</v>
      </c>
    </row>
  </sheetData>
  <phoneticPr fontId="8" type="noConversion"/>
  <conditionalFormatting sqref="B2:B7">
    <cfRule type="expression" dxfId="2" priority="1">
      <formula>B2="High"</formula>
    </cfRule>
    <cfRule type="expression" dxfId="1" priority="2">
      <formula>B2="Medium"</formula>
    </cfRule>
    <cfRule type="expression" dxfId="0" priority="3">
      <formula>B2="Low"</formula>
    </cfRule>
  </conditionalFormatting>
  <pageMargins left="0.75" right="0.75" top="1" bottom="1" header="0.5" footer="0.5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5"/>
  <sheetViews>
    <sheetView workbookViewId="0"/>
  </sheetViews>
  <sheetFormatPr defaultRowHeight="16.5" x14ac:dyDescent="0.3"/>
  <cols>
    <col min="1" max="1" width="28" customWidth="1"/>
    <col min="2" max="7" width="16" customWidth="1"/>
    <col min="8" max="8" width="18" customWidth="1"/>
  </cols>
  <sheetData>
    <row r="1" spans="1:8" ht="60" customHeight="1" x14ac:dyDescent="0.3">
      <c r="A1" s="6" t="s">
        <v>32</v>
      </c>
      <c r="B1" s="6" t="s">
        <v>131</v>
      </c>
      <c r="C1" s="6" t="s">
        <v>132</v>
      </c>
      <c r="D1" s="6" t="s">
        <v>133</v>
      </c>
      <c r="E1" s="6" t="s">
        <v>134</v>
      </c>
      <c r="F1" s="6" t="s">
        <v>135</v>
      </c>
      <c r="G1" s="6" t="s">
        <v>136</v>
      </c>
      <c r="H1" s="6" t="s">
        <v>137</v>
      </c>
    </row>
    <row r="2" spans="1:8" ht="30" customHeight="1" x14ac:dyDescent="0.3">
      <c r="A2" s="3" t="s">
        <v>45</v>
      </c>
      <c r="B2" s="8">
        <v>0.32200000000000001</v>
      </c>
      <c r="C2" s="8">
        <v>0.32200000000000001</v>
      </c>
      <c r="D2" s="8">
        <v>0.32200000000000001</v>
      </c>
      <c r="E2" s="8">
        <v>0.35299999999999998</v>
      </c>
      <c r="F2" s="8">
        <v>0.35299999999999998</v>
      </c>
      <c r="G2" s="8">
        <v>0.32200000000000001</v>
      </c>
      <c r="H2" s="12">
        <f t="shared" ref="H2:H13" si="0">MAX(B2:F2)-MIN(B2:F2)</f>
        <v>3.0999999999999972E-2</v>
      </c>
    </row>
    <row r="3" spans="1:8" ht="30" customHeight="1" x14ac:dyDescent="0.3">
      <c r="A3" s="3" t="s">
        <v>49</v>
      </c>
      <c r="B3" s="8">
        <v>0.373</v>
      </c>
      <c r="C3" s="8">
        <v>0.373</v>
      </c>
      <c r="D3" s="8">
        <v>0.373</v>
      </c>
      <c r="E3" s="8">
        <v>0.39600000000000002</v>
      </c>
      <c r="F3" s="8">
        <v>0.39600000000000002</v>
      </c>
      <c r="G3" s="8">
        <v>0.373</v>
      </c>
      <c r="H3" s="12">
        <f t="shared" si="0"/>
        <v>2.300000000000002E-2</v>
      </c>
    </row>
    <row r="4" spans="1:8" ht="30" customHeight="1" x14ac:dyDescent="0.3">
      <c r="A4" s="3" t="s">
        <v>53</v>
      </c>
      <c r="B4" s="8">
        <v>0.318</v>
      </c>
      <c r="C4" s="8">
        <v>0.318</v>
      </c>
      <c r="D4" s="8">
        <v>0.318</v>
      </c>
      <c r="E4" s="8">
        <v>0.32500000000000001</v>
      </c>
      <c r="F4" s="8">
        <v>0.32500000000000001</v>
      </c>
      <c r="G4" s="8">
        <v>0.39600000000000002</v>
      </c>
      <c r="H4" s="12">
        <f t="shared" si="0"/>
        <v>7.0000000000000062E-3</v>
      </c>
    </row>
    <row r="5" spans="1:8" ht="30" customHeight="1" x14ac:dyDescent="0.3">
      <c r="A5" s="3" t="s">
        <v>57</v>
      </c>
      <c r="B5" s="8">
        <v>0.34499999999999997</v>
      </c>
      <c r="C5" s="8">
        <v>0.34499999999999997</v>
      </c>
      <c r="D5" s="8">
        <v>0.34499999999999997</v>
      </c>
      <c r="E5" s="8">
        <v>0.373</v>
      </c>
      <c r="F5" s="8">
        <v>0.373</v>
      </c>
      <c r="G5" s="8">
        <v>0.34499999999999997</v>
      </c>
      <c r="H5" s="12">
        <f t="shared" si="0"/>
        <v>2.8000000000000025E-2</v>
      </c>
    </row>
    <row r="6" spans="1:8" ht="30" customHeight="1" x14ac:dyDescent="0.3">
      <c r="A6" s="3" t="s">
        <v>61</v>
      </c>
      <c r="B6" s="8">
        <v>0.34499999999999997</v>
      </c>
      <c r="C6" s="8">
        <v>0.34499999999999997</v>
      </c>
      <c r="D6" s="8">
        <v>0.34499999999999997</v>
      </c>
      <c r="E6" s="8">
        <v>0.373</v>
      </c>
      <c r="F6" s="8">
        <v>0.373</v>
      </c>
      <c r="G6" s="8">
        <v>0.34499999999999997</v>
      </c>
      <c r="H6" s="12">
        <f t="shared" si="0"/>
        <v>2.8000000000000025E-2</v>
      </c>
    </row>
    <row r="7" spans="1:8" ht="30" customHeight="1" x14ac:dyDescent="0.3">
      <c r="A7" s="3" t="s">
        <v>65</v>
      </c>
      <c r="B7" s="8">
        <v>0.32900000000000001</v>
      </c>
      <c r="C7" s="8">
        <v>0.32900000000000001</v>
      </c>
      <c r="D7" s="8">
        <v>0.32900000000000001</v>
      </c>
      <c r="E7" s="8">
        <v>0.34899999999999998</v>
      </c>
      <c r="F7" s="8">
        <v>0.34899999999999998</v>
      </c>
      <c r="G7" s="8">
        <v>0.32900000000000001</v>
      </c>
      <c r="H7" s="12">
        <f t="shared" si="0"/>
        <v>1.9999999999999962E-2</v>
      </c>
    </row>
    <row r="8" spans="1:8" ht="30" customHeight="1" x14ac:dyDescent="0.3">
      <c r="A8" s="3" t="s">
        <v>69</v>
      </c>
      <c r="B8" s="8">
        <v>0.32900000000000001</v>
      </c>
      <c r="C8" s="8">
        <v>0.32900000000000001</v>
      </c>
      <c r="D8" s="8">
        <v>0.32900000000000001</v>
      </c>
      <c r="E8" s="8">
        <v>0.34899999999999998</v>
      </c>
      <c r="F8" s="8">
        <v>0.34899999999999998</v>
      </c>
      <c r="G8" s="8">
        <v>0.32900000000000001</v>
      </c>
      <c r="H8" s="12">
        <f t="shared" si="0"/>
        <v>1.9999999999999962E-2</v>
      </c>
    </row>
    <row r="9" spans="1:8" ht="30" customHeight="1" x14ac:dyDescent="0.3">
      <c r="A9" s="3" t="s">
        <v>73</v>
      </c>
      <c r="B9" s="8">
        <v>0</v>
      </c>
      <c r="C9" s="8">
        <v>0</v>
      </c>
      <c r="D9" s="8">
        <v>0</v>
      </c>
      <c r="E9" s="8">
        <v>8.0000000000000002E-3</v>
      </c>
      <c r="F9" s="8">
        <v>0</v>
      </c>
      <c r="G9" s="8">
        <v>0</v>
      </c>
      <c r="H9" s="12">
        <f t="shared" si="0"/>
        <v>8.0000000000000002E-3</v>
      </c>
    </row>
    <row r="10" spans="1:8" ht="30" customHeight="1" x14ac:dyDescent="0.3">
      <c r="A10" s="3" t="s">
        <v>77</v>
      </c>
      <c r="B10" s="8">
        <v>0.73699999999999999</v>
      </c>
      <c r="C10" s="8">
        <v>0.73699999999999999</v>
      </c>
      <c r="D10" s="8">
        <v>0.73699999999999999</v>
      </c>
      <c r="E10" s="8">
        <v>0.745</v>
      </c>
      <c r="F10" s="8">
        <v>0.74099999999999999</v>
      </c>
      <c r="G10" s="8">
        <v>0.92500000000000004</v>
      </c>
      <c r="H10" s="12">
        <f t="shared" si="0"/>
        <v>8.0000000000000071E-3</v>
      </c>
    </row>
    <row r="11" spans="1:8" ht="30" customHeight="1" x14ac:dyDescent="0.3">
      <c r="A11" s="3" t="s">
        <v>81</v>
      </c>
      <c r="B11" s="8">
        <v>0.73699999999999999</v>
      </c>
      <c r="C11" s="8">
        <v>0.73699999999999999</v>
      </c>
      <c r="D11" s="8">
        <v>0.73699999999999999</v>
      </c>
      <c r="E11" s="8">
        <v>0.745</v>
      </c>
      <c r="F11" s="8">
        <v>0.745</v>
      </c>
      <c r="G11" s="8">
        <v>0.92500000000000004</v>
      </c>
      <c r="H11" s="12">
        <f t="shared" si="0"/>
        <v>8.0000000000000071E-3</v>
      </c>
    </row>
    <row r="12" spans="1:8" ht="30" customHeight="1" x14ac:dyDescent="0.3">
      <c r="A12" s="3" t="s">
        <v>85</v>
      </c>
      <c r="B12" s="8">
        <v>0.45900000000000002</v>
      </c>
      <c r="C12" s="8">
        <v>0.45900000000000002</v>
      </c>
      <c r="D12" s="8">
        <v>0.45900000000000002</v>
      </c>
      <c r="E12" s="8">
        <v>0.47799999999999998</v>
      </c>
      <c r="F12" s="8">
        <v>0.47799999999999998</v>
      </c>
      <c r="G12" s="8">
        <v>0.84699999999999998</v>
      </c>
      <c r="H12" s="12">
        <f t="shared" si="0"/>
        <v>1.8999999999999961E-2</v>
      </c>
    </row>
    <row r="13" spans="1:8" ht="30" customHeight="1" x14ac:dyDescent="0.3">
      <c r="A13" s="3" t="s">
        <v>89</v>
      </c>
      <c r="B13" s="8">
        <v>0.56899999999999995</v>
      </c>
      <c r="C13" s="8">
        <v>0.56899999999999995</v>
      </c>
      <c r="D13" s="8">
        <v>0.56899999999999995</v>
      </c>
      <c r="E13" s="8">
        <v>0.57599999999999996</v>
      </c>
      <c r="F13" s="8">
        <v>0.57599999999999996</v>
      </c>
      <c r="G13" s="8">
        <v>0.878</v>
      </c>
      <c r="H13" s="12">
        <f t="shared" si="0"/>
        <v>7.0000000000000062E-3</v>
      </c>
    </row>
    <row r="15" spans="1:8" ht="20.25" x14ac:dyDescent="0.35">
      <c r="A15" s="19" t="s">
        <v>138</v>
      </c>
      <c r="B15" s="16"/>
      <c r="C15" s="16"/>
      <c r="D15" s="16"/>
      <c r="E15" s="16"/>
      <c r="F15" s="16"/>
      <c r="G15" s="16"/>
      <c r="H15" s="16"/>
    </row>
  </sheetData>
  <mergeCells count="1">
    <mergeCell ref="A15:H15"/>
  </mergeCells>
  <phoneticPr fontId="8" type="noConversion"/>
  <pageMargins left="0.75" right="0.75" top="1" bottom="1" header="0.5" footer="0.5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20"/>
  <sheetViews>
    <sheetView workbookViewId="0"/>
  </sheetViews>
  <sheetFormatPr defaultRowHeight="16.5" x14ac:dyDescent="0.3"/>
  <cols>
    <col min="1" max="1" width="44" customWidth="1"/>
    <col min="2" max="2" width="18" customWidth="1"/>
    <col min="3" max="3" width="100" customWidth="1"/>
  </cols>
  <sheetData>
    <row r="1" spans="1:3" ht="33.75" x14ac:dyDescent="0.6">
      <c r="A1" s="1" t="s">
        <v>139</v>
      </c>
    </row>
    <row r="3" spans="1:3" ht="48" customHeight="1" x14ac:dyDescent="0.3">
      <c r="A3" s="6" t="s">
        <v>140</v>
      </c>
      <c r="B3" s="6" t="s">
        <v>141</v>
      </c>
      <c r="C3" s="6" t="s">
        <v>142</v>
      </c>
    </row>
    <row r="4" spans="1:3" ht="56.1" customHeight="1" x14ac:dyDescent="0.3">
      <c r="A4" s="13" t="s">
        <v>143</v>
      </c>
      <c r="B4" s="11">
        <v>1</v>
      </c>
      <c r="C4" s="3" t="s">
        <v>144</v>
      </c>
    </row>
    <row r="5" spans="1:3" ht="56.1" customHeight="1" x14ac:dyDescent="0.3">
      <c r="A5" s="13" t="s">
        <v>145</v>
      </c>
      <c r="B5" s="7" t="s">
        <v>146</v>
      </c>
      <c r="C5" s="3" t="s">
        <v>147</v>
      </c>
    </row>
    <row r="6" spans="1:3" ht="56.1" customHeight="1" x14ac:dyDescent="0.3">
      <c r="A6" s="13" t="s">
        <v>148</v>
      </c>
      <c r="B6" s="11">
        <v>9.4E-2</v>
      </c>
      <c r="C6" s="3" t="s">
        <v>149</v>
      </c>
    </row>
    <row r="7" spans="1:3" ht="56.1" customHeight="1" x14ac:dyDescent="0.3">
      <c r="A7" s="13" t="s">
        <v>150</v>
      </c>
      <c r="B7" s="11">
        <v>4.5</v>
      </c>
      <c r="C7" s="3" t="s">
        <v>151</v>
      </c>
    </row>
    <row r="8" spans="1:3" ht="56.1" customHeight="1" x14ac:dyDescent="0.3">
      <c r="A8" s="13" t="s">
        <v>152</v>
      </c>
      <c r="B8" s="11">
        <v>3</v>
      </c>
      <c r="C8" s="3" t="s">
        <v>153</v>
      </c>
    </row>
    <row r="9" spans="1:3" ht="56.1" customHeight="1" x14ac:dyDescent="0.3">
      <c r="A9" s="13" t="s">
        <v>154</v>
      </c>
      <c r="B9" s="11">
        <v>4.5</v>
      </c>
      <c r="C9" s="3" t="s">
        <v>155</v>
      </c>
    </row>
    <row r="10" spans="1:3" ht="56.1" customHeight="1" x14ac:dyDescent="0.3">
      <c r="A10" s="13" t="s">
        <v>156</v>
      </c>
      <c r="B10" s="12">
        <f>1-(1.055*((1.05/B9-0.05)^(1/2.4))-0.055)</f>
        <v>0.53468095301851148</v>
      </c>
      <c r="C10" s="3" t="s">
        <v>157</v>
      </c>
    </row>
    <row r="12" spans="1:3" ht="26.25" x14ac:dyDescent="0.5">
      <c r="A12" s="4" t="s">
        <v>158</v>
      </c>
    </row>
    <row r="13" spans="1:3" ht="84" customHeight="1" x14ac:dyDescent="0.3">
      <c r="A13" s="2" t="s">
        <v>159</v>
      </c>
      <c r="B13" s="20" t="s">
        <v>160</v>
      </c>
      <c r="C13" s="21"/>
    </row>
    <row r="14" spans="1:3" ht="84" customHeight="1" x14ac:dyDescent="0.3">
      <c r="A14" s="2" t="s">
        <v>161</v>
      </c>
      <c r="B14" s="20" t="s">
        <v>162</v>
      </c>
      <c r="C14" s="21"/>
    </row>
    <row r="15" spans="1:3" ht="84" customHeight="1" x14ac:dyDescent="0.3">
      <c r="A15" s="2" t="s">
        <v>163</v>
      </c>
      <c r="B15" s="20" t="s">
        <v>164</v>
      </c>
      <c r="C15" s="21"/>
    </row>
    <row r="16" spans="1:3" ht="84" customHeight="1" x14ac:dyDescent="0.3">
      <c r="A16" s="2" t="s">
        <v>165</v>
      </c>
      <c r="B16" s="20" t="s">
        <v>166</v>
      </c>
      <c r="C16" s="21"/>
    </row>
    <row r="17" spans="1:3" ht="84" customHeight="1" x14ac:dyDescent="0.3">
      <c r="A17" s="2" t="s">
        <v>167</v>
      </c>
      <c r="B17" s="20" t="s">
        <v>168</v>
      </c>
      <c r="C17" s="21"/>
    </row>
    <row r="18" spans="1:3" ht="84" customHeight="1" x14ac:dyDescent="0.3">
      <c r="A18" s="2" t="s">
        <v>169</v>
      </c>
      <c r="B18" s="20" t="s">
        <v>170</v>
      </c>
      <c r="C18" s="21"/>
    </row>
    <row r="19" spans="1:3" ht="84" customHeight="1" x14ac:dyDescent="0.3">
      <c r="A19" s="2" t="s">
        <v>171</v>
      </c>
      <c r="B19" s="20" t="s">
        <v>172</v>
      </c>
      <c r="C19" s="21"/>
    </row>
    <row r="20" spans="1:3" ht="84" customHeight="1" x14ac:dyDescent="0.3">
      <c r="A20" s="2" t="s">
        <v>173</v>
      </c>
      <c r="B20" s="20" t="s">
        <v>174</v>
      </c>
      <c r="C20" s="21"/>
    </row>
  </sheetData>
  <mergeCells count="8">
    <mergeCell ref="B13:C13"/>
    <mergeCell ref="B16:C16"/>
    <mergeCell ref="B15:C15"/>
    <mergeCell ref="B19:C19"/>
    <mergeCell ref="B20:C20"/>
    <mergeCell ref="B14:C14"/>
    <mergeCell ref="B17:C17"/>
    <mergeCell ref="B18:C18"/>
  </mergeCells>
  <phoneticPr fontId="8" type="noConversion"/>
  <pageMargins left="0.75" right="0.75" top="1" bottom="1" header="0.5" footer="0.5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26" customWidth="1"/>
    <col min="2" max="4" width="70" customWidth="1"/>
  </cols>
  <sheetData>
    <row r="1" spans="1:4" ht="48" customHeight="1" x14ac:dyDescent="0.3">
      <c r="A1" s="6" t="s">
        <v>32</v>
      </c>
      <c r="B1" s="6" t="s">
        <v>175</v>
      </c>
      <c r="C1" s="6" t="s">
        <v>176</v>
      </c>
      <c r="D1" s="6" t="s">
        <v>177</v>
      </c>
    </row>
    <row r="2" spans="1:4" ht="231.95" customHeight="1" x14ac:dyDescent="0.3">
      <c r="A2" s="3" t="s">
        <v>178</v>
      </c>
      <c r="B2" s="14"/>
      <c r="C2" s="14"/>
      <c r="D2" s="14"/>
    </row>
    <row r="3" spans="1:4" ht="231.95" customHeight="1" x14ac:dyDescent="0.3">
      <c r="A3" s="3" t="s">
        <v>179</v>
      </c>
      <c r="B3" s="14"/>
      <c r="C3" s="14"/>
      <c r="D3" s="14"/>
    </row>
    <row r="4" spans="1:4" ht="231.95" customHeight="1" x14ac:dyDescent="0.3">
      <c r="A4" s="3" t="s">
        <v>180</v>
      </c>
      <c r="B4" s="14"/>
      <c r="C4" s="14"/>
      <c r="D4" s="14"/>
    </row>
    <row r="5" spans="1:4" ht="231.95" customHeight="1" x14ac:dyDescent="0.3">
      <c r="A5" s="3" t="s">
        <v>181</v>
      </c>
      <c r="B5" s="14"/>
      <c r="C5" s="14"/>
      <c r="D5" s="14"/>
    </row>
    <row r="6" spans="1:4" ht="231.95" customHeight="1" x14ac:dyDescent="0.3">
      <c r="A6" s="3" t="s">
        <v>182</v>
      </c>
      <c r="B6" s="14"/>
      <c r="C6" s="14"/>
      <c r="D6" s="14"/>
    </row>
    <row r="7" spans="1:4" ht="231.95" customHeight="1" x14ac:dyDescent="0.3">
      <c r="A7" s="3" t="s">
        <v>183</v>
      </c>
      <c r="B7" s="14"/>
      <c r="C7" s="14"/>
      <c r="D7" s="14"/>
    </row>
    <row r="8" spans="1:4" ht="231.95" customHeight="1" x14ac:dyDescent="0.3">
      <c r="A8" s="3" t="s">
        <v>184</v>
      </c>
      <c r="B8" s="14"/>
      <c r="C8" s="14"/>
      <c r="D8" s="14"/>
    </row>
    <row r="9" spans="1:4" ht="231.95" customHeight="1" x14ac:dyDescent="0.3">
      <c r="A9" s="3" t="s">
        <v>185</v>
      </c>
      <c r="B9" s="14"/>
      <c r="C9" s="14"/>
      <c r="D9" s="14"/>
    </row>
    <row r="10" spans="1:4" ht="231.95" customHeight="1" x14ac:dyDescent="0.3">
      <c r="A10" s="3" t="s">
        <v>186</v>
      </c>
      <c r="B10" s="14"/>
      <c r="C10" s="14"/>
      <c r="D10" s="14"/>
    </row>
    <row r="11" spans="1:4" ht="231.95" customHeight="1" x14ac:dyDescent="0.3">
      <c r="A11" s="3" t="s">
        <v>187</v>
      </c>
      <c r="B11" s="14"/>
      <c r="C11" s="14"/>
      <c r="D11" s="14"/>
    </row>
    <row r="12" spans="1:4" ht="231.95" customHeight="1" x14ac:dyDescent="0.3">
      <c r="A12" s="3" t="s">
        <v>188</v>
      </c>
      <c r="B12" s="14"/>
      <c r="C12" s="14"/>
      <c r="D12" s="14"/>
    </row>
    <row r="13" spans="1:4" ht="231.95" customHeight="1" x14ac:dyDescent="0.3">
      <c r="A13" s="3" t="s">
        <v>189</v>
      </c>
      <c r="B13" s="14"/>
      <c r="C13" s="14"/>
      <c r="D13" s="14"/>
    </row>
  </sheetData>
  <phoneticPr fontId="8" type="noConversion"/>
  <pageMargins left="0.75" right="0.75" top="1" bottom="1" header="0.5" footer="0.5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요약</vt:lpstr>
      <vt:lpstr>점검 결과</vt:lpstr>
      <vt:lpstr>이슈·권장 조치</vt:lpstr>
      <vt:lpstr>언어·해상도</vt:lpstr>
      <vt:lpstr>방법·가정</vt:lpstr>
      <vt:lpstr>캡처 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호권 임</cp:lastModifiedBy>
  <dcterms:created xsi:type="dcterms:W3CDTF">2026-10-06T23:59:50Z</dcterms:created>
  <dcterms:modified xsi:type="dcterms:W3CDTF">2026-10-06T23:59:56Z</dcterms:modified>
</cp:coreProperties>
</file>